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xdes\Documents\repos\The_Knowledge_to_Improve_Repo\"/>
    </mc:Choice>
  </mc:AlternateContent>
  <xr:revisionPtr revIDLastSave="0" documentId="13_ncr:1_{5E670826-4F92-40E5-A4F4-3DC0F66B9AF2}" xr6:coauthVersionLast="43" xr6:coauthVersionMax="43" xr10:uidLastSave="{00000000-0000-0000-0000-000000000000}"/>
  <bookViews>
    <workbookView xWindow="-98" yWindow="-98" windowWidth="20715" windowHeight="13276" tabRatio="823" xr2:uid="{609E3833-5E34-4511-908E-D8F385FAB1C7}"/>
  </bookViews>
  <sheets>
    <sheet name="Summary" sheetId="1" r:id="rId1"/>
    <sheet name="Success Map" sheetId="2" r:id="rId2"/>
  </sheets>
  <definedNames>
    <definedName name="__InitiativeName">"Kanban 7"</definedName>
    <definedName name="AP_Actuals">Summary!$U$5:$U$19</definedName>
    <definedName name="AP_Deliverables">'Success Map'!$H$14:$K$28</definedName>
    <definedName name="AP_Est_Compressed">'Success Map'!$O$14:$O$28</definedName>
    <definedName name="AP_Est_Normal">'Success Map'!$M$14:$M$28</definedName>
    <definedName name="AP_Forecasts">Summary!$T$5:$T$19</definedName>
    <definedName name="AP_NextActions">Summary!$M$5:$P$19</definedName>
    <definedName name="AP_NextDates">Summary!$P$5:$P$19</definedName>
    <definedName name="AP_Owners">'Success Map'!$L$14:$L$28</definedName>
    <definedName name="AP_Plans">Summary!$S$5:$S$19</definedName>
    <definedName name="AP_Start">'Success Map'!$Q$11</definedName>
    <definedName name="B_Cadence">'Success Map'!$I$46</definedName>
    <definedName name="B_Goal1">'Success Map'!$F$47:$Q$47</definedName>
    <definedName name="B_Goal1Act">Summary!$J$46:$U$46</definedName>
    <definedName name="B_Goal1Fcst">Summary!$J$45:$U$45</definedName>
    <definedName name="B_Goal1Plan">'Success Map'!$F$49:$Q$49</definedName>
    <definedName name="B_Goal1Sign">'Success Map'!$Q$55</definedName>
    <definedName name="B_Goal2">'Success Map'!$F$51:$Q$51</definedName>
    <definedName name="B_Goal2Act">Summary!$J$53:$U$53</definedName>
    <definedName name="B_Goal2Fcst">Summary!$J$52:$U$52</definedName>
    <definedName name="B_Goal2Plan">'Success Map'!$F$53:$Q$53</definedName>
    <definedName name="B_Goal2Sign">'Success Map'!$Q$56</definedName>
    <definedName name="B_Start">'Success Map'!$F$46</definedName>
    <definedName name="B_Units">'Success Map'!$J$46</definedName>
    <definedName name="Guide_Need">Summary!$C$6</definedName>
    <definedName name="Guide_NeedDate">Summary!$C$10</definedName>
    <definedName name="Guide_Owner">Summary!$C$12</definedName>
    <definedName name="Guide_Sponsor">Summary!$C$4</definedName>
    <definedName name="Guide_Team">Summary!$C$14</definedName>
    <definedName name="Pblm">Summary!$C$18</definedName>
    <definedName name="Pblm_CurrentPerf">Summary!$C$23</definedName>
    <definedName name="Pblm_Method">Summary!$C$29</definedName>
    <definedName name="Pblm_Metric">Summary!$C$21</definedName>
    <definedName name="Pblm_TargetPerf">Summary!$C$26</definedName>
    <definedName name="_xlnm.Print_Area" localSheetId="0">Summary!$A$1:$U$59</definedName>
    <definedName name="Soln">Summary!$C$38</definedName>
    <definedName name="Soln_CM1">Summary!$C$42</definedName>
    <definedName name="Soln_CM2">Summary!$C$46</definedName>
    <definedName name="Soln_CM3">Summary!$C$50</definedName>
    <definedName name="Soln_RC">Summary!$C$33</definedName>
    <definedName name="Status">Summary!$N$1</definedName>
    <definedName name="TT_Case1_Act">Summary!$L$26:$U$26</definedName>
    <definedName name="TT_Case1_Fcst">Summary!$L$25:$U$25</definedName>
    <definedName name="TT_Case1_Plan">'Success Map'!$H$35:$Q$35</definedName>
    <definedName name="TT_Case2_Act">Summary!$L$30:$U$30</definedName>
    <definedName name="TT_Case2_Fcst">Summary!$L$29:$U$29</definedName>
    <definedName name="TT_Case2_Plan">'Success Map'!$H$36:$Q$36</definedName>
    <definedName name="TT_Case3_Act">Summary!$L$33:$U$33</definedName>
    <definedName name="TT_Case3_Fcst">Summary!$L$33:$U$33</definedName>
    <definedName name="TT_Case3_Plan">'Success Map'!$H$37:$Q$37</definedName>
    <definedName name="TT_Case4_Act">Summary!$L$37:$U$37</definedName>
    <definedName name="TT_Case4_Fcst">Summary!$L$37:$U$37</definedName>
    <definedName name="TT_Case4_Plan">'Success Map'!$H$38:$Q$38</definedName>
    <definedName name="TT_Cases">'Success Map'!$F$35:$G$38</definedName>
    <definedName name="TT_Laps">'Success Map'!$F$34:$Q$34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8" i="1" l="1"/>
  <c r="J41" i="1"/>
  <c r="N18" i="2" l="1"/>
  <c r="H53" i="2"/>
  <c r="I53" i="2" s="1"/>
  <c r="J53" i="2" s="1"/>
  <c r="K53" i="2" s="1"/>
  <c r="L53" i="2" s="1"/>
  <c r="M53" i="2" s="1"/>
  <c r="N53" i="2" s="1"/>
  <c r="O53" i="2" s="1"/>
  <c r="P53" i="2" s="1"/>
  <c r="Q53" i="2" s="1"/>
  <c r="G53" i="2"/>
  <c r="F53" i="2"/>
  <c r="U50" i="1" l="1"/>
  <c r="T50" i="1"/>
  <c r="S50" i="1"/>
  <c r="R50" i="1"/>
  <c r="Q50" i="1"/>
  <c r="P50" i="1"/>
  <c r="O50" i="1"/>
  <c r="N50" i="1"/>
  <c r="M50" i="1"/>
  <c r="L50" i="1"/>
  <c r="K50" i="1"/>
  <c r="J50" i="1"/>
  <c r="U43" i="1"/>
  <c r="T43" i="1"/>
  <c r="S43" i="1"/>
  <c r="R43" i="1"/>
  <c r="Q43" i="1"/>
  <c r="P43" i="1"/>
  <c r="O43" i="1"/>
  <c r="N43" i="1"/>
  <c r="M43" i="1"/>
  <c r="L43" i="1"/>
  <c r="K43" i="1"/>
  <c r="J43" i="1"/>
  <c r="V1" i="2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Q28" i="2"/>
  <c r="R19" i="1" s="1"/>
  <c r="P28" i="2"/>
  <c r="S19" i="1" s="1"/>
  <c r="Q27" i="2"/>
  <c r="R18" i="1" s="1"/>
  <c r="P27" i="2"/>
  <c r="S18" i="1" s="1"/>
  <c r="Q26" i="2"/>
  <c r="R17" i="1" s="1"/>
  <c r="P26" i="2"/>
  <c r="S17" i="1" s="1"/>
  <c r="Q25" i="2"/>
  <c r="R16" i="1" s="1"/>
  <c r="P25" i="2"/>
  <c r="S16" i="1" s="1"/>
  <c r="Q24" i="2"/>
  <c r="R15" i="1" s="1"/>
  <c r="P24" i="2"/>
  <c r="S15" i="1" s="1"/>
  <c r="Q23" i="2"/>
  <c r="R14" i="1" s="1"/>
  <c r="P23" i="2"/>
  <c r="S14" i="1" s="1"/>
  <c r="Q22" i="2"/>
  <c r="R13" i="1" s="1"/>
  <c r="P22" i="2"/>
  <c r="S13" i="1" s="1"/>
  <c r="Q21" i="2"/>
  <c r="R12" i="1" s="1"/>
  <c r="P21" i="2"/>
  <c r="S12" i="1" s="1"/>
  <c r="Q20" i="2"/>
  <c r="R11" i="1" s="1"/>
  <c r="P20" i="2"/>
  <c r="Q19" i="2"/>
  <c r="R10" i="1" s="1"/>
  <c r="Q14" i="2"/>
  <c r="Q15" i="2" s="1"/>
  <c r="Q16" i="2" s="1"/>
  <c r="Q17" i="2" s="1"/>
  <c r="Q18" i="2" s="1"/>
  <c r="R9" i="1" s="1"/>
  <c r="P14" i="2"/>
  <c r="P15" i="2" s="1"/>
  <c r="P16" i="2" s="1"/>
  <c r="P17" i="2" s="1"/>
  <c r="P18" i="2" s="1"/>
  <c r="O29" i="2"/>
  <c r="N28" i="2"/>
  <c r="N27" i="2"/>
  <c r="N26" i="2"/>
  <c r="N25" i="2"/>
  <c r="N24" i="2"/>
  <c r="N23" i="2"/>
  <c r="N22" i="2"/>
  <c r="N21" i="2"/>
  <c r="N20" i="2"/>
  <c r="N19" i="2"/>
  <c r="N17" i="2"/>
  <c r="N16" i="2"/>
  <c r="N15" i="2"/>
  <c r="N14" i="2"/>
  <c r="M29" i="2"/>
  <c r="T22" i="1"/>
  <c r="R22" i="1"/>
  <c r="P22" i="1"/>
  <c r="N22" i="1"/>
  <c r="L22" i="1"/>
  <c r="I22" i="1"/>
  <c r="I35" i="1"/>
  <c r="I31" i="1"/>
  <c r="I27" i="1"/>
  <c r="I23" i="1"/>
  <c r="F48" i="2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P27" i="1"/>
  <c r="P31" i="1" s="1"/>
  <c r="N27" i="1"/>
  <c r="N31" i="1" s="1"/>
  <c r="L27" i="1"/>
  <c r="L31" i="1" s="1"/>
  <c r="P19" i="2" l="1"/>
  <c r="R6" i="1"/>
  <c r="R7" i="1"/>
  <c r="R8" i="1"/>
  <c r="R5" i="1"/>
  <c r="N29" i="2"/>
  <c r="F52" i="2"/>
  <c r="G52" i="2" l="1"/>
  <c r="H52" i="2" l="1"/>
  <c r="I52" i="2" l="1"/>
  <c r="J52" i="2" l="1"/>
  <c r="K52" i="2" l="1"/>
  <c r="L52" i="2" l="1"/>
  <c r="M52" i="2" l="1"/>
  <c r="N52" i="2" l="1"/>
  <c r="O52" i="2" l="1"/>
  <c r="Q52" i="2" l="1"/>
  <c r="P52" i="2"/>
  <c r="J42" i="1" l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K49" i="1" l="1"/>
  <c r="J49" i="1"/>
  <c r="L49" i="1" l="1"/>
  <c r="M49" i="1" l="1"/>
  <c r="N49" i="1" l="1"/>
  <c r="O49" i="1" l="1"/>
  <c r="P49" i="1" l="1"/>
  <c r="Q49" i="1" l="1"/>
  <c r="R49" i="1" l="1"/>
  <c r="S49" i="1" l="1"/>
  <c r="T49" i="1" l="1"/>
  <c r="U49" i="1" l="1"/>
</calcChain>
</file>

<file path=xl/sharedStrings.xml><?xml version="1.0" encoding="utf-8"?>
<sst xmlns="http://schemas.openxmlformats.org/spreadsheetml/2006/main" count="153" uniqueCount="114">
  <si>
    <t>Sponsor</t>
  </si>
  <si>
    <t>Owner</t>
  </si>
  <si>
    <t>Solve</t>
  </si>
  <si>
    <t>Plan</t>
  </si>
  <si>
    <t>Month(s)</t>
  </si>
  <si>
    <t>Day(s)</t>
  </si>
  <si>
    <t>Next Action</t>
  </si>
  <si>
    <t>Goal 1</t>
  </si>
  <si>
    <t>Goal 2</t>
  </si>
  <si>
    <t>Dates</t>
  </si>
  <si>
    <t>Status</t>
  </si>
  <si>
    <t>Solution</t>
  </si>
  <si>
    <t>Forecast</t>
  </si>
  <si>
    <t>Actual</t>
  </si>
  <si>
    <t>Bowlers</t>
  </si>
  <si>
    <t>Test Track</t>
  </si>
  <si>
    <t>Owner name</t>
  </si>
  <si>
    <t>Deliverable</t>
  </si>
  <si>
    <t>Action Plan</t>
  </si>
  <si>
    <t>Root Cause</t>
  </si>
  <si>
    <t>Counter Measures</t>
  </si>
  <si>
    <t>Guide (Sponsor)</t>
  </si>
  <si>
    <t>Pos</t>
  </si>
  <si>
    <t>Need-by date</t>
  </si>
  <si>
    <t>Solve Method</t>
  </si>
  <si>
    <t>Current  Perf.</t>
  </si>
  <si>
    <t>Targert Perf.</t>
  </si>
  <si>
    <t>Cadence</t>
  </si>
  <si>
    <t>Start Date</t>
  </si>
  <si>
    <t>Start on:</t>
  </si>
  <si>
    <t>Last
Update</t>
  </si>
  <si>
    <t>Date</t>
  </si>
  <si>
    <t>Update
Due</t>
  </si>
  <si>
    <t>Team members</t>
  </si>
  <si>
    <t>1-New</t>
  </si>
  <si>
    <t>2-Rdy for Pblm</t>
  </si>
  <si>
    <t>3-Rdy to Solve</t>
  </si>
  <si>
    <t>Neg</t>
  </si>
  <si>
    <t>Explain Need</t>
  </si>
  <si>
    <t>Problem or Opportunity</t>
  </si>
  <si>
    <t>Metric</t>
  </si>
  <si>
    <t>Fcst</t>
  </si>
  <si>
    <t>Act</t>
  </si>
  <si>
    <t xml:space="preserve"> Initiative</t>
  </si>
  <si>
    <t>Focus</t>
  </si>
  <si>
    <t>Test Track--Planning Data</t>
  </si>
  <si>
    <t>Action Plan--Plannning Data</t>
  </si>
  <si>
    <t>Case</t>
  </si>
  <si>
    <t>4-Success Map tracking</t>
  </si>
  <si>
    <t>2. Define a measurable deliverable due at each step.</t>
  </si>
  <si>
    <t xml:space="preserve">1. Divide the initiative in about 10 steps, roughly equal in complexty.  </t>
  </si>
  <si>
    <t>3. Estimate the time to complete each step under "normal" circumstances</t>
  </si>
  <si>
    <t>4. Compress each step, on average, about 20% to take out the buffer we automatically insert when estimating "normal" time.</t>
  </si>
  <si>
    <t># weeks, normal</t>
  </si>
  <si>
    <t># weeks, compress</t>
  </si>
  <si>
    <t># weeks, compress (calc)</t>
  </si>
  <si>
    <t>1. Identify 3-4  cases the team will follow closely to "watch it work"</t>
  </si>
  <si>
    <t>2. Divide "watch it work" into 3-5 makor "Laps"</t>
  </si>
  <si>
    <t>4. Plan out when each of the "Cases" will complete each "Lap"</t>
  </si>
  <si>
    <t>3. Rename  Laps row, e.g., change "Lap 1" to "First prototype ship"</t>
  </si>
  <si>
    <t>Bowler--Planning Data</t>
  </si>
  <si>
    <t>1. Fill in Goal 1 and, optionally Goal 2</t>
  </si>
  <si>
    <t xml:space="preserve">2. Select the date to start on. </t>
  </si>
  <si>
    <t>3. Select Cadence = time duration of each column</t>
  </si>
  <si>
    <t>4. Select Cadence units, either days or months</t>
  </si>
  <si>
    <t>6.  Fill in plan for each applicable column</t>
  </si>
  <si>
    <t>C. Bowler Plan</t>
  </si>
  <si>
    <t>B. Test Track Plan</t>
  </si>
  <si>
    <t>A. Action Plan Instructions</t>
  </si>
  <si>
    <t>Summary Instructions</t>
  </si>
  <si>
    <t>Values entered here are automatically copied to the Main page of this canvas for tracking</t>
  </si>
  <si>
    <t>If a Stop-Fix alarm occurs, the team is expected to take all practical steps to protect the dates and goals before starting to renegotiate the plan</t>
  </si>
  <si>
    <t>5. A standard compression is calculated (20%) as a reference</t>
  </si>
  <si>
    <t>7. Throughout the tracking process, you can use up to a specific amount of  buffer to turn off Stop-Fix alarm.</t>
  </si>
  <si>
    <t>6.  The team should select the actual compressed estimations they can commit to.</t>
  </si>
  <si>
    <r>
      <t xml:space="preserve">The success map planning is filled in immediately after  a problem solve. </t>
    </r>
    <r>
      <rPr>
        <b/>
        <sz val="14"/>
        <color theme="1"/>
        <rFont val="Calibri"/>
        <family val="2"/>
        <scheme val="minor"/>
      </rPr>
      <t xml:space="preserve"> The Success Map may not be changed unless renegotiated with the sponsor</t>
    </r>
  </si>
  <si>
    <t>5. Fill in "favorability for each goal.  "Positive Favorable" is goals we are maximizing (like Revenue).  An example of "Neg. Favorable" Cost.</t>
  </si>
  <si>
    <t>Goal 1 Favorability</t>
  </si>
  <si>
    <t>Goal 2 Favorability</t>
  </si>
  <si>
    <t>It almost always happens that unexpected events make staying out of Stop-Fix alarms more difficult than anticipated.  There are three responses</t>
  </si>
  <si>
    <t>What to do in a Stop-Fix alarm</t>
  </si>
  <si>
    <t>Internal Plan</t>
  </si>
  <si>
    <t>Buffer</t>
  </si>
  <si>
    <t>Install Kanban Task Board</t>
  </si>
  <si>
    <t>Hannah</t>
  </si>
  <si>
    <t>Our team brings in a large number of small- and medium-sized tasks with no structured means to prioritize.  This leads to systematic oversubscription, frustrating the team and disappointing internal customers</t>
  </si>
  <si>
    <t>2 months fully installed</t>
  </si>
  <si>
    <t>Tucker</t>
  </si>
  <si>
    <t>BB Johnson, Urs, Diego, Eyal</t>
  </si>
  <si>
    <t>On-schedule delivery, realized value</t>
  </si>
  <si>
    <t>Unknown</t>
  </si>
  <si>
    <t>90% on schedule, generating $2M revenue/year</t>
  </si>
  <si>
    <t>Virtual event with full team, 2-3 hours per day, 5-6 meetings over 2 weeks.</t>
  </si>
  <si>
    <t>Create global, single point of truth for task acceptance, prioritized by internal customers</t>
  </si>
  <si>
    <t>No standardized means to review and prioritize/rationalize tasks.  No standard measures of value.</t>
  </si>
  <si>
    <t>Install electronic Kanban</t>
  </si>
  <si>
    <t>Install electronic Kanban board for tasks taken by global team; track value delivered annually</t>
  </si>
  <si>
    <t>Hold bi-weekly meetings to prioritize new tasks and review old tasks</t>
  </si>
  <si>
    <t>Report value delivered by Kanban projects</t>
  </si>
  <si>
    <t>Tasks completed to schedule</t>
  </si>
  <si>
    <t>Revenue earned throughout year</t>
  </si>
  <si>
    <t>1st Meeting (12/15)</t>
  </si>
  <si>
    <t>2nd Meeting (12/18)</t>
  </si>
  <si>
    <t>3rd Meeting (1/2)</t>
  </si>
  <si>
    <t>Meeting Held</t>
  </si>
  <si>
    <t>All Projects Complete</t>
  </si>
  <si>
    <t>All Projects report rev.</t>
  </si>
  <si>
    <t>Define standard work for Kanban</t>
  </si>
  <si>
    <t>Pilot 1</t>
  </si>
  <si>
    <t>Pilot 2</t>
  </si>
  <si>
    <t>Train team</t>
  </si>
  <si>
    <t>BB</t>
  </si>
  <si>
    <t>Define standard work for collecting rev by task</t>
  </si>
  <si>
    <t>Replan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</si>
</sst>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0\k"/>
    <numFmt numFmtId="165" formatCode="0.0\ &quot; wks&quot;"/>
    <numFmt numFmtId="166" formatCode="_(&quot;$&quot;* #,##0&quot;k&quot;_);_(&quot;$&quot;* \(#,##0\);_(&quot;$&quot;* &quot;-&quot;??_);_(@_)"/>
  </numFmts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76">
    <xf numFmtId="0" fontId="0" fillId="0" borderId="0" xfId="0"/>
    <xf numFmtId="0" fontId="0" fillId="0" borderId="0" xfId="0" applyAlignment="1">
      <alignment vertical="top"/>
    </xf>
    <xf numFmtId="0" fontId="0" fillId="5" borderId="0" xfId="0" applyFill="1"/>
    <xf numFmtId="14" fontId="0" fillId="0" borderId="0" xfId="0" applyNumberFormat="1"/>
    <xf numFmtId="0" fontId="3" fillId="0" borderId="0" xfId="0" applyFont="1"/>
    <xf numFmtId="0" fontId="0" fillId="5" borderId="0" xfId="0" applyFill="1" applyAlignment="1">
      <alignment vertical="top" wrapText="1"/>
    </xf>
    <xf numFmtId="0" fontId="0" fillId="2" borderId="1" xfId="0" applyFill="1" applyBorder="1" applyAlignment="1">
      <alignment horizontal="left"/>
    </xf>
    <xf numFmtId="16" fontId="0" fillId="2" borderId="1" xfId="0" applyNumberFormat="1" applyFill="1" applyBorder="1" applyAlignment="1">
      <alignment horizontal="left"/>
    </xf>
    <xf numFmtId="16" fontId="0" fillId="0" borderId="1" xfId="0" applyNumberFormat="1" applyBorder="1"/>
    <xf numFmtId="16" fontId="0" fillId="0" borderId="4" xfId="0" applyNumberFormat="1" applyBorder="1"/>
    <xf numFmtId="16" fontId="0" fillId="3" borderId="23" xfId="0" applyNumberFormat="1" applyFill="1" applyBorder="1" applyAlignment="1">
      <alignment horizontal="center"/>
    </xf>
    <xf numFmtId="16" fontId="0" fillId="3" borderId="24" xfId="0" applyNumberFormat="1" applyFill="1" applyBorder="1" applyAlignment="1">
      <alignment horizontal="center"/>
    </xf>
    <xf numFmtId="0" fontId="10" fillId="3" borderId="7" xfId="0" applyFont="1" applyFill="1" applyBorder="1" applyAlignment="1">
      <alignment horizontal="left"/>
    </xf>
    <xf numFmtId="0" fontId="0" fillId="2" borderId="8" xfId="0" applyFill="1" applyBorder="1"/>
    <xf numFmtId="164" fontId="0" fillId="2" borderId="1" xfId="1" applyNumberFormat="1" applyFont="1" applyFill="1" applyBorder="1"/>
    <xf numFmtId="164" fontId="0" fillId="2" borderId="5" xfId="1" applyNumberFormat="1" applyFont="1" applyFill="1" applyBorder="1"/>
    <xf numFmtId="9" fontId="4" fillId="3" borderId="45" xfId="0" applyNumberFormat="1" applyFont="1" applyFill="1" applyBorder="1" applyAlignment="1">
      <alignment horizontal="right" vertical="center"/>
    </xf>
    <xf numFmtId="0" fontId="0" fillId="3" borderId="44" xfId="0" applyFill="1" applyBorder="1" applyAlignment="1">
      <alignment horizontal="right" vertical="center"/>
    </xf>
    <xf numFmtId="16" fontId="0" fillId="3" borderId="27" xfId="0" applyNumberFormat="1" applyFill="1" applyBorder="1" applyAlignment="1">
      <alignment horizontal="center"/>
    </xf>
    <xf numFmtId="164" fontId="0" fillId="2" borderId="4" xfId="1" applyNumberFormat="1" applyFont="1" applyFill="1" applyBorder="1"/>
    <xf numFmtId="164" fontId="0" fillId="2" borderId="6" xfId="1" applyNumberFormat="1" applyFont="1" applyFill="1" applyBorder="1"/>
    <xf numFmtId="0" fontId="10" fillId="3" borderId="18" xfId="0" applyFont="1" applyFill="1" applyBorder="1"/>
    <xf numFmtId="0" fontId="3" fillId="3" borderId="18" xfId="0" applyFont="1" applyFill="1" applyBorder="1"/>
    <xf numFmtId="0" fontId="3" fillId="3" borderId="41" xfId="0" applyFont="1" applyFill="1" applyBorder="1"/>
    <xf numFmtId="0" fontId="0" fillId="2" borderId="5" xfId="0" applyFill="1" applyBorder="1" applyAlignment="1">
      <alignment horizontal="left"/>
    </xf>
    <xf numFmtId="0" fontId="6" fillId="0" borderId="45" xfId="0" applyFont="1" applyBorder="1" applyAlignment="1">
      <alignment vertical="center" wrapText="1"/>
    </xf>
    <xf numFmtId="0" fontId="0" fillId="7" borderId="0" xfId="0" applyFill="1"/>
    <xf numFmtId="0" fontId="0" fillId="7" borderId="2" xfId="0" applyFill="1" applyBorder="1"/>
    <xf numFmtId="0" fontId="0" fillId="7" borderId="39" xfId="0" applyFill="1" applyBorder="1"/>
    <xf numFmtId="0" fontId="0" fillId="7" borderId="48" xfId="0" applyFill="1" applyBorder="1"/>
    <xf numFmtId="0" fontId="0" fillId="7" borderId="42" xfId="0" applyFill="1" applyBorder="1"/>
    <xf numFmtId="0" fontId="0" fillId="7" borderId="50" xfId="0" applyFill="1" applyBorder="1"/>
    <xf numFmtId="0" fontId="6" fillId="0" borderId="45" xfId="0" applyFont="1" applyBorder="1" applyAlignment="1">
      <alignment horizontal="right" vertical="center" wrapText="1"/>
    </xf>
    <xf numFmtId="0" fontId="1" fillId="0" borderId="51" xfId="0" applyFont="1" applyBorder="1" applyAlignment="1">
      <alignment horizontal="right" wrapText="1"/>
    </xf>
    <xf numFmtId="0" fontId="0" fillId="2" borderId="49" xfId="0" applyFill="1" applyBorder="1" applyAlignment="1">
      <alignment horizontal="center" vertical="center"/>
    </xf>
    <xf numFmtId="16" fontId="0" fillId="2" borderId="3" xfId="0" applyNumberFormat="1" applyFill="1" applyBorder="1" applyAlignment="1">
      <alignment horizontal="left"/>
    </xf>
    <xf numFmtId="16" fontId="0" fillId="2" borderId="8" xfId="0" applyNumberFormat="1" applyFill="1" applyBorder="1" applyAlignment="1">
      <alignment horizontal="left"/>
    </xf>
    <xf numFmtId="16" fontId="0" fillId="2" borderId="4" xfId="0" applyNumberFormat="1" applyFill="1" applyBorder="1" applyAlignment="1">
      <alignment horizontal="left"/>
    </xf>
    <xf numFmtId="16" fontId="0" fillId="2" borderId="5" xfId="0" applyNumberFormat="1" applyFill="1" applyBorder="1" applyAlignment="1">
      <alignment horizontal="left"/>
    </xf>
    <xf numFmtId="16" fontId="0" fillId="2" borderId="6" xfId="0" applyNumberFormat="1" applyFill="1" applyBorder="1" applyAlignment="1">
      <alignment horizontal="left"/>
    </xf>
    <xf numFmtId="0" fontId="0" fillId="2" borderId="1" xfId="1" applyNumberFormat="1" applyFont="1" applyFill="1" applyBorder="1"/>
    <xf numFmtId="0" fontId="0" fillId="2" borderId="4" xfId="1" applyNumberFormat="1" applyFont="1" applyFill="1" applyBorder="1"/>
    <xf numFmtId="0" fontId="0" fillId="2" borderId="5" xfId="1" applyNumberFormat="1" applyFont="1" applyFill="1" applyBorder="1"/>
    <xf numFmtId="0" fontId="0" fillId="2" borderId="6" xfId="1" applyNumberFormat="1" applyFont="1" applyFill="1" applyBorder="1"/>
    <xf numFmtId="164" fontId="0" fillId="3" borderId="1" xfId="1" applyNumberFormat="1" applyFont="1" applyFill="1" applyBorder="1"/>
    <xf numFmtId="164" fontId="0" fillId="3" borderId="4" xfId="1" applyNumberFormat="1" applyFont="1" applyFill="1" applyBorder="1"/>
    <xf numFmtId="16" fontId="0" fillId="3" borderId="3" xfId="0" applyNumberFormat="1" applyFill="1" applyBorder="1" applyAlignment="1">
      <alignment horizontal="left"/>
    </xf>
    <xf numFmtId="16" fontId="0" fillId="3" borderId="1" xfId="0" applyNumberFormat="1" applyFill="1" applyBorder="1" applyAlignment="1">
      <alignment horizontal="left"/>
    </xf>
    <xf numFmtId="16" fontId="0" fillId="3" borderId="5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0" fillId="3" borderId="3" xfId="0" applyFont="1" applyFill="1" applyBorder="1"/>
    <xf numFmtId="0" fontId="10" fillId="3" borderId="1" xfId="0" applyFont="1" applyFill="1" applyBorder="1"/>
    <xf numFmtId="0" fontId="10" fillId="3" borderId="5" xfId="0" applyFont="1" applyFill="1" applyBorder="1"/>
    <xf numFmtId="0" fontId="10" fillId="3" borderId="17" xfId="0" applyFont="1" applyFill="1" applyBorder="1"/>
    <xf numFmtId="0" fontId="10" fillId="3" borderId="35" xfId="0" applyFont="1" applyFill="1" applyBorder="1"/>
    <xf numFmtId="0" fontId="10" fillId="3" borderId="9" xfId="0" applyFont="1" applyFill="1" applyBorder="1"/>
    <xf numFmtId="0" fontId="10" fillId="3" borderId="10" xfId="0" applyFont="1" applyFill="1" applyBorder="1"/>
    <xf numFmtId="0" fontId="15" fillId="0" borderId="0" xfId="0" applyFont="1" applyAlignment="1">
      <alignment vertical="top"/>
    </xf>
    <xf numFmtId="16" fontId="0" fillId="2" borderId="20" xfId="0" applyNumberFormat="1" applyFill="1" applyBorder="1" applyAlignment="1">
      <alignment horizontal="left"/>
    </xf>
    <xf numFmtId="165" fontId="0" fillId="2" borderId="1" xfId="0" applyNumberFormat="1" applyFill="1" applyBorder="1"/>
    <xf numFmtId="165" fontId="0" fillId="0" borderId="1" xfId="0" applyNumberFormat="1" applyBorder="1"/>
    <xf numFmtId="165" fontId="0" fillId="2" borderId="5" xfId="0" applyNumberFormat="1" applyFill="1" applyBorder="1"/>
    <xf numFmtId="165" fontId="0" fillId="0" borderId="5" xfId="0" applyNumberFormat="1" applyBorder="1"/>
    <xf numFmtId="16" fontId="0" fillId="0" borderId="5" xfId="0" applyNumberFormat="1" applyBorder="1"/>
    <xf numFmtId="16" fontId="0" fillId="0" borderId="6" xfId="0" applyNumberFormat="1" applyBorder="1"/>
    <xf numFmtId="165" fontId="3" fillId="0" borderId="0" xfId="0" applyNumberFormat="1" applyFont="1"/>
    <xf numFmtId="165" fontId="0" fillId="2" borderId="20" xfId="0" applyNumberFormat="1" applyFill="1" applyBorder="1"/>
    <xf numFmtId="165" fontId="0" fillId="0" borderId="20" xfId="0" applyNumberFormat="1" applyBorder="1"/>
    <xf numFmtId="16" fontId="0" fillId="0" borderId="20" xfId="0" applyNumberFormat="1" applyBorder="1"/>
    <xf numFmtId="16" fontId="0" fillId="0" borderId="21" xfId="0" applyNumberFormat="1" applyBorder="1"/>
    <xf numFmtId="0" fontId="7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center"/>
    </xf>
    <xf numFmtId="16" fontId="0" fillId="7" borderId="0" xfId="0" applyNumberFormat="1" applyFill="1" applyAlignment="1">
      <alignment horizontal="center"/>
    </xf>
    <xf numFmtId="16" fontId="0" fillId="7" borderId="37" xfId="0" applyNumberFormat="1" applyFill="1" applyBorder="1" applyAlignment="1">
      <alignment horizontal="center"/>
    </xf>
    <xf numFmtId="16" fontId="0" fillId="7" borderId="39" xfId="0" applyNumberFormat="1" applyFill="1" applyBorder="1" applyAlignment="1">
      <alignment horizontal="center"/>
    </xf>
    <xf numFmtId="16" fontId="0" fillId="7" borderId="35" xfId="0" applyNumberFormat="1" applyFill="1" applyBorder="1" applyAlignment="1">
      <alignment horizontal="center"/>
    </xf>
    <xf numFmtId="16" fontId="0" fillId="7" borderId="25" xfId="0" applyNumberFormat="1" applyFill="1" applyBorder="1" applyAlignment="1">
      <alignment horizontal="center"/>
    </xf>
    <xf numFmtId="16" fontId="0" fillId="7" borderId="11" xfId="0" applyNumberFormat="1" applyFill="1" applyBorder="1" applyAlignment="1">
      <alignment horizontal="center"/>
    </xf>
    <xf numFmtId="0" fontId="0" fillId="7" borderId="11" xfId="0" applyFill="1" applyBorder="1"/>
    <xf numFmtId="0" fontId="0" fillId="7" borderId="22" xfId="0" applyFill="1" applyBorder="1"/>
    <xf numFmtId="0" fontId="0" fillId="0" borderId="8" xfId="0" applyBorder="1"/>
    <xf numFmtId="0" fontId="3" fillId="0" borderId="0" xfId="0" applyFont="1" applyAlignment="1">
      <alignment vertical="top"/>
    </xf>
    <xf numFmtId="0" fontId="0" fillId="6" borderId="0" xfId="0" applyFill="1"/>
    <xf numFmtId="9" fontId="0" fillId="2" borderId="1" xfId="1" applyFont="1" applyFill="1" applyBorder="1"/>
    <xf numFmtId="9" fontId="0" fillId="3" borderId="1" xfId="1" applyFont="1" applyFill="1" applyBorder="1"/>
    <xf numFmtId="9" fontId="0" fillId="3" borderId="4" xfId="1" applyFont="1" applyFill="1" applyBorder="1"/>
    <xf numFmtId="166" fontId="0" fillId="2" borderId="1" xfId="2" applyNumberFormat="1" applyFont="1" applyFill="1" applyBorder="1"/>
    <xf numFmtId="0" fontId="3" fillId="3" borderId="49" xfId="0" applyFont="1" applyFill="1" applyBorder="1" applyAlignment="1">
      <alignment horizontal="left"/>
    </xf>
    <xf numFmtId="0" fontId="3" fillId="3" borderId="42" xfId="0" applyFont="1" applyFill="1" applyBorder="1" applyAlignment="1">
      <alignment horizontal="left"/>
    </xf>
    <xf numFmtId="0" fontId="3" fillId="3" borderId="50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right" vertical="center" wrapText="1"/>
    </xf>
    <xf numFmtId="0" fontId="11" fillId="3" borderId="32" xfId="0" applyFont="1" applyFill="1" applyBorder="1" applyAlignment="1">
      <alignment horizontal="right" vertical="center" wrapText="1"/>
    </xf>
    <xf numFmtId="0" fontId="11" fillId="3" borderId="29" xfId="0" applyFont="1" applyFill="1" applyBorder="1" applyAlignment="1">
      <alignment horizontal="right" vertical="center" wrapText="1"/>
    </xf>
    <xf numFmtId="0" fontId="11" fillId="3" borderId="34" xfId="0" applyFont="1" applyFill="1" applyBorder="1" applyAlignment="1">
      <alignment horizontal="righ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36" xfId="0" applyFill="1" applyBorder="1" applyAlignment="1">
      <alignment horizontal="left" vertical="center" wrapText="1"/>
    </xf>
    <xf numFmtId="0" fontId="0" fillId="2" borderId="30" xfId="0" applyFill="1" applyBorder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3" fillId="3" borderId="40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0" fillId="2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3" borderId="9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1" fillId="3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7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1" fillId="3" borderId="7" xfId="0" applyFont="1" applyFill="1" applyBorder="1" applyAlignment="1">
      <alignment horizontal="right" vertical="center" wrapText="1"/>
    </xf>
    <xf numFmtId="0" fontId="11" fillId="3" borderId="3" xfId="0" applyFont="1" applyFill="1" applyBorder="1" applyAlignment="1">
      <alignment horizontal="right" vertical="center" wrapText="1"/>
    </xf>
    <xf numFmtId="0" fontId="11" fillId="3" borderId="9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righ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9" fillId="3" borderId="18" xfId="0" applyFont="1" applyFill="1" applyBorder="1" applyAlignment="1">
      <alignment horizontal="center"/>
    </xf>
    <xf numFmtId="0" fontId="0" fillId="2" borderId="13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0" xfId="0" applyFill="1" applyBorder="1" applyAlignment="1">
      <alignment vertical="center" wrapText="1"/>
    </xf>
    <xf numFmtId="0" fontId="0" fillId="2" borderId="31" xfId="0" applyFill="1" applyBorder="1" applyAlignment="1">
      <alignment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left" vertical="center" wrapText="1"/>
    </xf>
    <xf numFmtId="0" fontId="7" fillId="3" borderId="35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horizontal="right" vertical="center" wrapText="1"/>
    </xf>
    <xf numFmtId="16" fontId="0" fillId="2" borderId="5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0" fillId="3" borderId="3" xfId="0" applyNumberForma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16" fontId="14" fillId="0" borderId="45" xfId="0" applyNumberFormat="1" applyFont="1" applyBorder="1" applyAlignment="1">
      <alignment horizontal="left" vertical="center" wrapText="1"/>
    </xf>
    <xf numFmtId="16" fontId="14" fillId="0" borderId="46" xfId="0" applyNumberFormat="1" applyFont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left" vertical="center" wrapText="1"/>
    </xf>
    <xf numFmtId="0" fontId="0" fillId="7" borderId="25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8" fillId="4" borderId="35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8" fillId="4" borderId="7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6" fontId="0" fillId="2" borderId="49" xfId="0" applyNumberFormat="1" applyFill="1" applyBorder="1" applyAlignment="1">
      <alignment horizontal="left"/>
    </xf>
    <xf numFmtId="16" fontId="0" fillId="2" borderId="47" xfId="0" applyNumberFormat="1" applyFill="1" applyBorder="1" applyAlignment="1">
      <alignment horizontal="left"/>
    </xf>
    <xf numFmtId="0" fontId="0" fillId="2" borderId="51" xfId="0" applyFill="1" applyBorder="1" applyAlignment="1">
      <alignment horizontal="left" vertical="center"/>
    </xf>
    <xf numFmtId="0" fontId="0" fillId="2" borderId="50" xfId="0" applyFill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5" fillId="8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50" xfId="0" applyFont="1" applyFill="1" applyBorder="1" applyAlignment="1">
      <alignment horizontal="left"/>
    </xf>
    <xf numFmtId="0" fontId="12" fillId="8" borderId="2" xfId="0" applyFont="1" applyFill="1" applyBorder="1" applyAlignment="1">
      <alignment horizontal="center" vertical="center"/>
    </xf>
    <xf numFmtId="16" fontId="0" fillId="2" borderId="49" xfId="0" applyNumberFormat="1" applyFill="1" applyBorder="1" applyAlignment="1">
      <alignment horizontal="center"/>
    </xf>
    <xf numFmtId="16" fontId="0" fillId="2" borderId="47" xfId="0" applyNumberFormat="1" applyFill="1" applyBorder="1" applyAlignment="1">
      <alignment horizontal="center"/>
    </xf>
    <xf numFmtId="16" fontId="0" fillId="2" borderId="50" xfId="0" applyNumberForma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7" fillId="2" borderId="51" xfId="0" applyFont="1" applyFill="1" applyBorder="1" applyAlignment="1">
      <alignment horizontal="left" vertical="center" wrapText="1"/>
    </xf>
    <xf numFmtId="0" fontId="7" fillId="2" borderId="47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3" fillId="0" borderId="20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left"/>
    </xf>
    <xf numFmtId="0" fontId="9" fillId="3" borderId="20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3" fillId="3" borderId="2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16" fontId="0" fillId="2" borderId="8" xfId="0" applyNumberForma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11" fillId="3" borderId="35" xfId="0" applyFont="1" applyFill="1" applyBorder="1" applyAlignment="1">
      <alignment horizontal="right" vertical="center" wrapText="1"/>
    </xf>
    <xf numFmtId="0" fontId="11" fillId="3" borderId="33" xfId="0" applyFont="1" applyFill="1" applyBorder="1" applyAlignment="1">
      <alignment horizontal="right" vertical="center" wrapText="1"/>
    </xf>
    <xf numFmtId="9" fontId="0" fillId="2" borderId="12" xfId="0" applyNumberFormat="1" applyFill="1" applyBorder="1" applyAlignment="1">
      <alignment vertical="center" wrapText="1"/>
    </xf>
    <xf numFmtId="9" fontId="0" fillId="2" borderId="13" xfId="0" applyNumberFormat="1" applyFill="1" applyBorder="1" applyAlignment="1">
      <alignment vertical="center" wrapText="1"/>
    </xf>
    <xf numFmtId="9" fontId="0" fillId="2" borderId="14" xfId="0" applyNumberFormat="1" applyFill="1" applyBorder="1" applyAlignment="1">
      <alignment vertical="center" wrapText="1"/>
    </xf>
    <xf numFmtId="9" fontId="0" fillId="2" borderId="52" xfId="0" applyNumberFormat="1" applyFill="1" applyBorder="1" applyAlignment="1">
      <alignment vertical="center" wrapText="1"/>
    </xf>
    <xf numFmtId="9" fontId="0" fillId="2" borderId="0" xfId="0" applyNumberFormat="1" applyFill="1" applyBorder="1" applyAlignment="1">
      <alignment vertical="center" wrapText="1"/>
    </xf>
    <xf numFmtId="9" fontId="0" fillId="2" borderId="2" xfId="0" applyNumberFormat="1" applyFill="1" applyBorder="1" applyAlignment="1">
      <alignment vertical="center" wrapText="1"/>
    </xf>
    <xf numFmtId="9" fontId="0" fillId="2" borderId="36" xfId="0" applyNumberFormat="1" applyFill="1" applyBorder="1" applyAlignment="1">
      <alignment vertical="center" wrapText="1"/>
    </xf>
    <xf numFmtId="9" fontId="0" fillId="2" borderId="30" xfId="0" applyNumberFormat="1" applyFill="1" applyBorder="1" applyAlignment="1">
      <alignment vertical="center" wrapText="1"/>
    </xf>
    <xf numFmtId="9" fontId="0" fillId="2" borderId="31" xfId="0" applyNumberFormat="1" applyFill="1" applyBorder="1" applyAlignment="1">
      <alignment vertical="center" wrapText="1"/>
    </xf>
    <xf numFmtId="0" fontId="8" fillId="4" borderId="28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right" vertical="center"/>
    </xf>
    <xf numFmtId="0" fontId="11" fillId="3" borderId="32" xfId="0" applyFont="1" applyFill="1" applyBorder="1" applyAlignment="1">
      <alignment horizontal="right" vertical="center"/>
    </xf>
    <xf numFmtId="0" fontId="11" fillId="3" borderId="35" xfId="0" applyFont="1" applyFill="1" applyBorder="1" applyAlignment="1">
      <alignment horizontal="right" vertical="center"/>
    </xf>
    <xf numFmtId="0" fontId="11" fillId="3" borderId="33" xfId="0" applyFont="1" applyFill="1" applyBorder="1" applyAlignment="1">
      <alignment horizontal="right" vertical="center"/>
    </xf>
    <xf numFmtId="0" fontId="11" fillId="3" borderId="29" xfId="0" applyFont="1" applyFill="1" applyBorder="1" applyAlignment="1">
      <alignment horizontal="right" vertical="center"/>
    </xf>
    <xf numFmtId="0" fontId="11" fillId="3" borderId="34" xfId="0" applyFont="1" applyFill="1" applyBorder="1" applyAlignment="1">
      <alignment horizontal="right" vertical="center"/>
    </xf>
    <xf numFmtId="0" fontId="0" fillId="2" borderId="5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right" vertical="center" wrapText="1"/>
    </xf>
    <xf numFmtId="0" fontId="11" fillId="3" borderId="43" xfId="0" applyFont="1" applyFill="1" applyBorder="1" applyAlignment="1">
      <alignment horizontal="right" vertical="center" wrapText="1"/>
    </xf>
    <xf numFmtId="0" fontId="11" fillId="3" borderId="53" xfId="0" applyFont="1" applyFill="1" applyBorder="1" applyAlignment="1">
      <alignment horizontal="right" vertical="center" wrapText="1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4"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CC"/>
      <color rgb="FFCC9900"/>
      <color rgb="FFC3FFFF"/>
      <color rgb="FF009999"/>
      <color rgb="FF996600"/>
      <color rgb="FF663300"/>
      <color rgb="FFFFFFFF"/>
      <color rgb="FFFF9595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4B32-C924-4F0F-9DFD-994C7B067DDA}">
  <sheetPr>
    <pageSetUpPr fitToPage="1"/>
  </sheetPr>
  <dimension ref="A1:Y59"/>
  <sheetViews>
    <sheetView tabSelected="1" zoomScale="60" zoomScaleNormal="60" zoomScalePageLayoutView="50" workbookViewId="0">
      <selection activeCell="Y49" sqref="Y49"/>
    </sheetView>
  </sheetViews>
  <sheetFormatPr defaultRowHeight="14.25" x14ac:dyDescent="0.45"/>
  <cols>
    <col min="1" max="1" width="14.265625" customWidth="1"/>
    <col min="2" max="2" width="6.3984375" customWidth="1"/>
    <col min="3" max="3" width="10.1328125" customWidth="1"/>
    <col min="4" max="4" width="10.33203125" customWidth="1"/>
    <col min="5" max="5" width="6" customWidth="1"/>
    <col min="6" max="6" width="12.1328125" customWidth="1"/>
    <col min="7" max="7" width="7.1328125" customWidth="1"/>
    <col min="8" max="8" width="0.46484375" customWidth="1"/>
    <col min="11" max="11" width="9" customWidth="1"/>
    <col min="13" max="13" width="9" customWidth="1"/>
    <col min="14" max="14" width="9.86328125" customWidth="1"/>
    <col min="16" max="16" width="9.06640625" customWidth="1"/>
    <col min="18" max="19" width="9" customWidth="1"/>
    <col min="22" max="22" width="10.73046875" bestFit="1" customWidth="1"/>
    <col min="23" max="23" width="6.73046875" bestFit="1" customWidth="1"/>
    <col min="24" max="25" width="18" customWidth="1"/>
  </cols>
  <sheetData>
    <row r="1" spans="1:21" ht="36.4" thickBot="1" x14ac:dyDescent="0.6">
      <c r="A1" s="33" t="s">
        <v>43</v>
      </c>
      <c r="B1" s="161" t="s">
        <v>83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32" t="s">
        <v>10</v>
      </c>
      <c r="N1" s="163" t="s">
        <v>48</v>
      </c>
      <c r="O1" s="164"/>
      <c r="P1" s="25" t="s">
        <v>30</v>
      </c>
      <c r="Q1" s="156">
        <v>43446</v>
      </c>
      <c r="R1" s="156"/>
      <c r="S1" s="25" t="s">
        <v>32</v>
      </c>
      <c r="T1" s="156"/>
      <c r="U1" s="157"/>
    </row>
    <row r="2" spans="1:21" ht="16.149999999999999" customHeight="1" x14ac:dyDescent="0.45">
      <c r="A2" s="168" t="s">
        <v>21</v>
      </c>
      <c r="B2" s="169"/>
      <c r="C2" s="169"/>
      <c r="D2" s="169"/>
      <c r="E2" s="169"/>
      <c r="F2" s="169"/>
      <c r="G2" s="170"/>
      <c r="H2" s="2"/>
      <c r="I2" s="141" t="s">
        <v>18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3"/>
    </row>
    <row r="3" spans="1:21" ht="14.45" customHeight="1" thickBot="1" x14ac:dyDescent="0.5">
      <c r="A3" s="171"/>
      <c r="B3" s="172"/>
      <c r="C3" s="172"/>
      <c r="D3" s="172"/>
      <c r="E3" s="172"/>
      <c r="F3" s="172"/>
      <c r="G3" s="173"/>
      <c r="H3" s="2"/>
      <c r="I3" s="158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60"/>
    </row>
    <row r="4" spans="1:21" s="1" customFormat="1" ht="14.85" customHeight="1" thickBot="1" x14ac:dyDescent="0.55000000000000004">
      <c r="A4" s="118" t="s">
        <v>0</v>
      </c>
      <c r="B4" s="119"/>
      <c r="C4" s="114" t="s">
        <v>84</v>
      </c>
      <c r="D4" s="114"/>
      <c r="E4" s="114"/>
      <c r="F4" s="114"/>
      <c r="G4" s="115"/>
      <c r="H4" s="2"/>
      <c r="I4" s="128" t="s">
        <v>17</v>
      </c>
      <c r="J4" s="128"/>
      <c r="K4" s="128"/>
      <c r="L4" s="128"/>
      <c r="M4" s="101" t="s">
        <v>6</v>
      </c>
      <c r="N4" s="102"/>
      <c r="O4" s="102"/>
      <c r="P4" s="22" t="s">
        <v>31</v>
      </c>
      <c r="Q4" s="22" t="s">
        <v>1</v>
      </c>
      <c r="R4" s="82" t="s">
        <v>3</v>
      </c>
      <c r="S4" s="22" t="s">
        <v>113</v>
      </c>
      <c r="T4" s="22" t="s">
        <v>41</v>
      </c>
      <c r="U4" s="23" t="s">
        <v>13</v>
      </c>
    </row>
    <row r="5" spans="1:21" s="1" customFormat="1" ht="14.85" customHeight="1" x14ac:dyDescent="0.45">
      <c r="A5" s="120"/>
      <c r="B5" s="121"/>
      <c r="C5" s="110"/>
      <c r="D5" s="110"/>
      <c r="E5" s="110"/>
      <c r="F5" s="110"/>
      <c r="G5" s="111"/>
      <c r="H5" s="2"/>
      <c r="I5" s="116" t="str">
        <f>IF('Success Map'!H14="","",'Success Map'!H14)</f>
        <v>Define standard work for Kanban</v>
      </c>
      <c r="J5" s="117"/>
      <c r="K5" s="117"/>
      <c r="L5" s="117"/>
      <c r="M5" s="103"/>
      <c r="N5" s="103"/>
      <c r="O5" s="103"/>
      <c r="P5" s="35"/>
      <c r="Q5" s="46" t="str">
        <f>IF('Success Map'!L14="","",'Success Map'!L14)</f>
        <v>BB</v>
      </c>
      <c r="R5" s="46">
        <f>IF('Success Map'!Q14="","",'Success Map'!Q14)</f>
        <v>43791</v>
      </c>
      <c r="S5" s="46"/>
      <c r="T5" s="35">
        <v>43791</v>
      </c>
      <c r="U5" s="36"/>
    </row>
    <row r="6" spans="1:21" ht="14.25" customHeight="1" x14ac:dyDescent="0.45">
      <c r="A6" s="120" t="s">
        <v>38</v>
      </c>
      <c r="B6" s="121"/>
      <c r="C6" s="129" t="s">
        <v>85</v>
      </c>
      <c r="D6" s="129"/>
      <c r="E6" s="129"/>
      <c r="F6" s="129"/>
      <c r="G6" s="130"/>
      <c r="H6" s="5"/>
      <c r="I6" s="106" t="str">
        <f>IF('Success Map'!H15="","",'Success Map'!H15)</f>
        <v>Pilot 1</v>
      </c>
      <c r="J6" s="107"/>
      <c r="K6" s="107"/>
      <c r="L6" s="107"/>
      <c r="M6" s="104"/>
      <c r="N6" s="104"/>
      <c r="O6" s="104"/>
      <c r="P6" s="7"/>
      <c r="Q6" s="47" t="str">
        <f>IF('Success Map'!L15="","",'Success Map'!L15)</f>
        <v>Tucker</v>
      </c>
      <c r="R6" s="47">
        <f>IF('Success Map'!Q15="","",'Success Map'!Q15)</f>
        <v>43798</v>
      </c>
      <c r="S6" s="47"/>
      <c r="T6" s="7">
        <v>43798</v>
      </c>
      <c r="U6" s="37"/>
    </row>
    <row r="7" spans="1:21" ht="14.25" customHeight="1" x14ac:dyDescent="0.45">
      <c r="A7" s="120"/>
      <c r="B7" s="121"/>
      <c r="C7" s="131"/>
      <c r="D7" s="131"/>
      <c r="E7" s="131"/>
      <c r="F7" s="131"/>
      <c r="G7" s="132"/>
      <c r="H7" s="5"/>
      <c r="I7" s="106" t="str">
        <f>IF('Success Map'!H16="","",'Success Map'!H16)</f>
        <v>Pilot 2</v>
      </c>
      <c r="J7" s="107"/>
      <c r="K7" s="107"/>
      <c r="L7" s="107"/>
      <c r="M7" s="104"/>
      <c r="N7" s="104"/>
      <c r="O7" s="104"/>
      <c r="P7" s="7"/>
      <c r="Q7" s="49" t="str">
        <f>IF('Success Map'!L16="","",'Success Map'!L16)</f>
        <v>Tucker</v>
      </c>
      <c r="R7" s="47">
        <f>IF('Success Map'!Q16="","",'Success Map'!Q16)</f>
        <v>43805</v>
      </c>
      <c r="S7" s="47"/>
      <c r="T7" s="7">
        <v>43805</v>
      </c>
      <c r="U7" s="37"/>
    </row>
    <row r="8" spans="1:21" ht="14.65" customHeight="1" x14ac:dyDescent="0.45">
      <c r="A8" s="120"/>
      <c r="B8" s="121"/>
      <c r="C8" s="131"/>
      <c r="D8" s="131"/>
      <c r="E8" s="131"/>
      <c r="F8" s="131"/>
      <c r="G8" s="132"/>
      <c r="H8" s="2"/>
      <c r="I8" s="106" t="str">
        <f>IF('Success Map'!H17="","",'Success Map'!H17)</f>
        <v>Train team</v>
      </c>
      <c r="J8" s="107"/>
      <c r="K8" s="107"/>
      <c r="L8" s="107"/>
      <c r="M8" s="104"/>
      <c r="N8" s="104"/>
      <c r="O8" s="104"/>
      <c r="P8" s="7"/>
      <c r="Q8" s="49" t="str">
        <f>IF('Success Map'!L17="","",'Success Map'!L17)</f>
        <v>BB</v>
      </c>
      <c r="R8" s="47">
        <f>IF('Success Map'!Q17="","",'Success Map'!Q17)</f>
        <v>43812</v>
      </c>
      <c r="S8" s="47"/>
      <c r="T8" s="7">
        <v>43812</v>
      </c>
      <c r="U8" s="37"/>
    </row>
    <row r="9" spans="1:21" ht="14.25" customHeight="1" thickBot="1" x14ac:dyDescent="0.5">
      <c r="A9" s="120"/>
      <c r="B9" s="121"/>
      <c r="C9" s="133"/>
      <c r="D9" s="133"/>
      <c r="E9" s="133"/>
      <c r="F9" s="133"/>
      <c r="G9" s="134"/>
      <c r="H9" s="2"/>
      <c r="I9" s="126" t="str">
        <f>IF('Success Map'!H18="","",'Success Map'!H18)</f>
        <v>Define standard work for collecting rev by task</v>
      </c>
      <c r="J9" s="127"/>
      <c r="K9" s="127"/>
      <c r="L9" s="127"/>
      <c r="M9" s="105"/>
      <c r="N9" s="105"/>
      <c r="O9" s="105"/>
      <c r="P9" s="38"/>
      <c r="Q9" s="50" t="str">
        <f>IF('Success Map'!L18="","",'Success Map'!L18)</f>
        <v>BB</v>
      </c>
      <c r="R9" s="48">
        <f>IF('Success Map'!Q18="","",'Success Map'!Q18)</f>
        <v>43826</v>
      </c>
      <c r="S9" s="48"/>
      <c r="T9" s="38">
        <v>43826</v>
      </c>
      <c r="U9" s="39"/>
    </row>
    <row r="10" spans="1:21" ht="14.25" customHeight="1" x14ac:dyDescent="0.45">
      <c r="A10" s="120" t="s">
        <v>23</v>
      </c>
      <c r="B10" s="121"/>
      <c r="C10" s="110" t="s">
        <v>86</v>
      </c>
      <c r="D10" s="110"/>
      <c r="E10" s="110"/>
      <c r="F10" s="110"/>
      <c r="G10" s="111"/>
      <c r="H10" s="2"/>
      <c r="I10" s="116" t="str">
        <f>IF('Success Map'!H19="","",'Success Map'!H19)</f>
        <v>Buffer</v>
      </c>
      <c r="J10" s="117"/>
      <c r="K10" s="117"/>
      <c r="L10" s="117"/>
      <c r="M10" s="103"/>
      <c r="N10" s="103"/>
      <c r="O10" s="103"/>
      <c r="P10" s="35"/>
      <c r="Q10" s="46" t="str">
        <f>IF('Success Map'!L19="","",'Success Map'!L19)</f>
        <v/>
      </c>
      <c r="R10" s="46">
        <f>IF('Success Map'!Q19="","",'Success Map'!Q19)</f>
        <v>43826</v>
      </c>
      <c r="S10" s="46"/>
      <c r="T10" s="35">
        <v>43826</v>
      </c>
      <c r="U10" s="36"/>
    </row>
    <row r="11" spans="1:21" ht="14.25" customHeight="1" x14ac:dyDescent="0.45">
      <c r="A11" s="120"/>
      <c r="B11" s="121"/>
      <c r="C11" s="110"/>
      <c r="D11" s="110"/>
      <c r="E11" s="110"/>
      <c r="F11" s="110"/>
      <c r="G11" s="111"/>
      <c r="H11" s="2"/>
      <c r="I11" s="106" t="str">
        <f>IF('Success Map'!H20="","",'Success Map'!H20)</f>
        <v/>
      </c>
      <c r="J11" s="107"/>
      <c r="K11" s="107"/>
      <c r="L11" s="107"/>
      <c r="M11" s="104"/>
      <c r="N11" s="104"/>
      <c r="O11" s="104"/>
      <c r="P11" s="7"/>
      <c r="Q11" s="47" t="str">
        <f>IF('Success Map'!L20="","",'Success Map'!L20)</f>
        <v/>
      </c>
      <c r="R11" s="47" t="str">
        <f>IF('Success Map'!Q20="","",'Success Map'!Q20)</f>
        <v/>
      </c>
      <c r="S11" s="47"/>
      <c r="T11" s="7"/>
      <c r="U11" s="37"/>
    </row>
    <row r="12" spans="1:21" ht="14.25" customHeight="1" x14ac:dyDescent="0.45">
      <c r="A12" s="120" t="s">
        <v>16</v>
      </c>
      <c r="B12" s="121"/>
      <c r="C12" s="110" t="s">
        <v>87</v>
      </c>
      <c r="D12" s="110"/>
      <c r="E12" s="110"/>
      <c r="F12" s="110"/>
      <c r="G12" s="111"/>
      <c r="H12" s="2"/>
      <c r="I12" s="106" t="str">
        <f>IF('Success Map'!H21="","",'Success Map'!H21)</f>
        <v/>
      </c>
      <c r="J12" s="107"/>
      <c r="K12" s="107"/>
      <c r="L12" s="107"/>
      <c r="M12" s="104"/>
      <c r="N12" s="104"/>
      <c r="O12" s="104"/>
      <c r="P12" s="7"/>
      <c r="Q12" s="49" t="str">
        <f>IF('Success Map'!L21="","",'Success Map'!L21)</f>
        <v/>
      </c>
      <c r="R12" s="47" t="str">
        <f>IF('Success Map'!Q21="","",'Success Map'!Q21)</f>
        <v/>
      </c>
      <c r="S12" s="47" t="str">
        <f>IF('Success Map'!P21="","",'Success Map'!P21)</f>
        <v/>
      </c>
      <c r="T12" s="7"/>
      <c r="U12" s="37"/>
    </row>
    <row r="13" spans="1:21" ht="14.25" customHeight="1" x14ac:dyDescent="0.45">
      <c r="A13" s="120"/>
      <c r="B13" s="121"/>
      <c r="C13" s="110"/>
      <c r="D13" s="110"/>
      <c r="E13" s="110"/>
      <c r="F13" s="110"/>
      <c r="G13" s="111"/>
      <c r="H13" s="2"/>
      <c r="I13" s="106" t="str">
        <f>IF('Success Map'!H22="","",'Success Map'!H22)</f>
        <v/>
      </c>
      <c r="J13" s="107"/>
      <c r="K13" s="107"/>
      <c r="L13" s="107"/>
      <c r="M13" s="104"/>
      <c r="N13" s="104"/>
      <c r="O13" s="104"/>
      <c r="P13" s="7"/>
      <c r="Q13" s="49" t="str">
        <f>IF('Success Map'!L22="","",'Success Map'!L22)</f>
        <v/>
      </c>
      <c r="R13" s="47" t="str">
        <f>IF('Success Map'!Q22="","",'Success Map'!Q22)</f>
        <v/>
      </c>
      <c r="S13" s="47" t="str">
        <f>IF('Success Map'!P22="","",'Success Map'!P22)</f>
        <v/>
      </c>
      <c r="T13" s="7"/>
      <c r="U13" s="37"/>
    </row>
    <row r="14" spans="1:21" ht="14.25" customHeight="1" thickBot="1" x14ac:dyDescent="0.5">
      <c r="A14" s="120" t="s">
        <v>33</v>
      </c>
      <c r="B14" s="121"/>
      <c r="C14" s="110" t="s">
        <v>88</v>
      </c>
      <c r="D14" s="110"/>
      <c r="E14" s="110"/>
      <c r="F14" s="110"/>
      <c r="G14" s="111"/>
      <c r="H14" s="2"/>
      <c r="I14" s="126" t="str">
        <f>IF('Success Map'!H23="","",'Success Map'!H23)</f>
        <v/>
      </c>
      <c r="J14" s="127"/>
      <c r="K14" s="127"/>
      <c r="L14" s="127"/>
      <c r="M14" s="105"/>
      <c r="N14" s="105"/>
      <c r="O14" s="105"/>
      <c r="P14" s="38"/>
      <c r="Q14" s="50" t="str">
        <f>IF('Success Map'!L23="","",'Success Map'!L23)</f>
        <v/>
      </c>
      <c r="R14" s="48" t="str">
        <f>IF('Success Map'!Q23="","",'Success Map'!Q23)</f>
        <v/>
      </c>
      <c r="S14" s="48" t="str">
        <f>IF('Success Map'!P23="","",'Success Map'!P23)</f>
        <v/>
      </c>
      <c r="T14" s="38"/>
      <c r="U14" s="39"/>
    </row>
    <row r="15" spans="1:21" ht="14.25" customHeight="1" thickBot="1" x14ac:dyDescent="0.5">
      <c r="A15" s="150"/>
      <c r="B15" s="151"/>
      <c r="C15" s="112"/>
      <c r="D15" s="112"/>
      <c r="E15" s="112"/>
      <c r="F15" s="112"/>
      <c r="G15" s="113"/>
      <c r="H15" s="2"/>
      <c r="I15" s="116" t="str">
        <f>IF('Success Map'!H24="","",'Success Map'!H24)</f>
        <v/>
      </c>
      <c r="J15" s="117"/>
      <c r="K15" s="117"/>
      <c r="L15" s="117"/>
      <c r="M15" s="103"/>
      <c r="N15" s="103"/>
      <c r="O15" s="103"/>
      <c r="P15" s="35"/>
      <c r="Q15" s="46" t="str">
        <f>IF('Success Map'!L24="","",'Success Map'!L24)</f>
        <v/>
      </c>
      <c r="R15" s="46" t="str">
        <f>IF('Success Map'!Q24="","",'Success Map'!Q24)</f>
        <v/>
      </c>
      <c r="S15" s="46" t="str">
        <f>IF('Success Map'!P24="","",'Success Map'!P24)</f>
        <v/>
      </c>
      <c r="T15" s="35"/>
      <c r="U15" s="36"/>
    </row>
    <row r="16" spans="1:21" ht="14.65" customHeight="1" x14ac:dyDescent="0.45">
      <c r="A16" s="174" t="s">
        <v>44</v>
      </c>
      <c r="B16" s="175"/>
      <c r="C16" s="175"/>
      <c r="D16" s="175"/>
      <c r="E16" s="175"/>
      <c r="F16" s="175"/>
      <c r="G16" s="176"/>
      <c r="H16" s="2"/>
      <c r="I16" s="106" t="str">
        <f>IF('Success Map'!H25="","",'Success Map'!H25)</f>
        <v/>
      </c>
      <c r="J16" s="107"/>
      <c r="K16" s="107"/>
      <c r="L16" s="107"/>
      <c r="M16" s="104"/>
      <c r="N16" s="104"/>
      <c r="O16" s="104"/>
      <c r="P16" s="7"/>
      <c r="Q16" s="47" t="str">
        <f>IF('Success Map'!L25="","",'Success Map'!L25)</f>
        <v/>
      </c>
      <c r="R16" s="47" t="str">
        <f>IF('Success Map'!Q25="","",'Success Map'!Q25)</f>
        <v/>
      </c>
      <c r="S16" s="47" t="str">
        <f>IF('Success Map'!P25="","",'Success Map'!P25)</f>
        <v/>
      </c>
      <c r="T16" s="7"/>
      <c r="U16" s="37"/>
    </row>
    <row r="17" spans="1:25" ht="14.65" customHeight="1" thickBot="1" x14ac:dyDescent="0.5">
      <c r="A17" s="177"/>
      <c r="B17" s="178"/>
      <c r="C17" s="178"/>
      <c r="D17" s="178"/>
      <c r="E17" s="178"/>
      <c r="F17" s="178"/>
      <c r="G17" s="179"/>
      <c r="H17" s="2"/>
      <c r="I17" s="106" t="str">
        <f>IF('Success Map'!H26="","",'Success Map'!H26)</f>
        <v/>
      </c>
      <c r="J17" s="107"/>
      <c r="K17" s="107"/>
      <c r="L17" s="107"/>
      <c r="M17" s="104"/>
      <c r="N17" s="104"/>
      <c r="O17" s="104"/>
      <c r="P17" s="7"/>
      <c r="Q17" s="49" t="str">
        <f>IF('Success Map'!L26="","",'Success Map'!L26)</f>
        <v/>
      </c>
      <c r="R17" s="47" t="str">
        <f>IF('Success Map'!Q26="","",'Success Map'!Q26)</f>
        <v/>
      </c>
      <c r="S17" s="47" t="str">
        <f>IF('Success Map'!P26="","",'Success Map'!P26)</f>
        <v/>
      </c>
      <c r="T17" s="7"/>
      <c r="U17" s="37"/>
    </row>
    <row r="18" spans="1:25" ht="16.149999999999999" customHeight="1" x14ac:dyDescent="0.45">
      <c r="A18" s="118" t="s">
        <v>39</v>
      </c>
      <c r="B18" s="119"/>
      <c r="C18" s="122" t="s">
        <v>93</v>
      </c>
      <c r="D18" s="122"/>
      <c r="E18" s="122"/>
      <c r="F18" s="122"/>
      <c r="G18" s="123"/>
      <c r="H18" s="2"/>
      <c r="I18" s="106" t="str">
        <f>IF('Success Map'!H27="","",'Success Map'!H27)</f>
        <v/>
      </c>
      <c r="J18" s="107"/>
      <c r="K18" s="107"/>
      <c r="L18" s="107"/>
      <c r="M18" s="104"/>
      <c r="N18" s="104"/>
      <c r="O18" s="104"/>
      <c r="P18" s="7"/>
      <c r="Q18" s="49" t="str">
        <f>IF('Success Map'!L27="","",'Success Map'!L27)</f>
        <v/>
      </c>
      <c r="R18" s="47" t="str">
        <f>IF('Success Map'!Q27="","",'Success Map'!Q27)</f>
        <v/>
      </c>
      <c r="S18" s="47" t="str">
        <f>IF('Success Map'!P27="","",'Success Map'!P27)</f>
        <v/>
      </c>
      <c r="T18" s="7"/>
      <c r="U18" s="37"/>
    </row>
    <row r="19" spans="1:25" ht="15.95" customHeight="1" thickBot="1" x14ac:dyDescent="0.5">
      <c r="A19" s="120"/>
      <c r="B19" s="121"/>
      <c r="C19" s="124"/>
      <c r="D19" s="124"/>
      <c r="E19" s="124"/>
      <c r="F19" s="124"/>
      <c r="G19" s="125"/>
      <c r="H19" s="2"/>
      <c r="I19" s="126" t="str">
        <f>IF('Success Map'!H28="","",'Success Map'!H28)</f>
        <v/>
      </c>
      <c r="J19" s="127"/>
      <c r="K19" s="127"/>
      <c r="L19" s="127"/>
      <c r="M19" s="105"/>
      <c r="N19" s="105"/>
      <c r="O19" s="105"/>
      <c r="P19" s="38"/>
      <c r="Q19" s="50" t="str">
        <f>IF('Success Map'!L28="","",'Success Map'!L28)</f>
        <v/>
      </c>
      <c r="R19" s="48" t="str">
        <f>IF('Success Map'!Q28="","",'Success Map'!Q28)</f>
        <v/>
      </c>
      <c r="S19" s="48" t="str">
        <f>IF('Success Map'!P28="","",'Success Map'!P28)</f>
        <v/>
      </c>
      <c r="T19" s="38"/>
      <c r="U19" s="39"/>
    </row>
    <row r="20" spans="1:25" ht="14.25" customHeight="1" x14ac:dyDescent="0.45">
      <c r="A20" s="120"/>
      <c r="B20" s="121"/>
      <c r="C20" s="124"/>
      <c r="D20" s="124"/>
      <c r="E20" s="124"/>
      <c r="F20" s="124"/>
      <c r="G20" s="125"/>
      <c r="H20" s="2"/>
      <c r="I20" s="141" t="s">
        <v>15</v>
      </c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3"/>
    </row>
    <row r="21" spans="1:25" ht="14.85" customHeight="1" thickBot="1" x14ac:dyDescent="0.5">
      <c r="A21" s="120" t="s">
        <v>40</v>
      </c>
      <c r="B21" s="121"/>
      <c r="C21" s="110" t="s">
        <v>89</v>
      </c>
      <c r="D21" s="110"/>
      <c r="E21" s="110"/>
      <c r="F21" s="110"/>
      <c r="G21" s="111"/>
      <c r="H21" s="2"/>
      <c r="I21" s="158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/>
    </row>
    <row r="22" spans="1:25" ht="14.85" customHeight="1" thickBot="1" x14ac:dyDescent="0.5">
      <c r="A22" s="120"/>
      <c r="B22" s="121"/>
      <c r="C22" s="110"/>
      <c r="D22" s="110"/>
      <c r="E22" s="110"/>
      <c r="F22" s="110"/>
      <c r="G22" s="111"/>
      <c r="H22" s="2"/>
      <c r="I22" s="180" t="str">
        <f>'Success Map'!F34</f>
        <v>Case</v>
      </c>
      <c r="J22" s="155"/>
      <c r="K22" s="21" t="s">
        <v>9</v>
      </c>
      <c r="L22" s="155" t="str">
        <f>IF('Success Map'!H34="","--",'Success Map'!H34)</f>
        <v>Meeting Held</v>
      </c>
      <c r="M22" s="155"/>
      <c r="N22" s="155" t="str">
        <f>IF('Success Map'!J34="","--",'Success Map'!J34)</f>
        <v>All Projects Complete</v>
      </c>
      <c r="O22" s="155"/>
      <c r="P22" s="155" t="str">
        <f>IF('Success Map'!L34="","--",'Success Map'!L34)</f>
        <v>All Projects report rev.</v>
      </c>
      <c r="Q22" s="155"/>
      <c r="R22" s="155" t="str">
        <f>IF('Success Map'!N34="","--",'Success Map'!N34)</f>
        <v>--</v>
      </c>
      <c r="S22" s="155"/>
      <c r="T22" s="155" t="str">
        <f>IF('Success Map'!P34="","--",'Success Map'!P34)</f>
        <v>--</v>
      </c>
      <c r="U22" s="155"/>
    </row>
    <row r="23" spans="1:25" ht="14.85" customHeight="1" x14ac:dyDescent="0.45">
      <c r="A23" s="120" t="s">
        <v>25</v>
      </c>
      <c r="B23" s="121"/>
      <c r="C23" s="110" t="s">
        <v>90</v>
      </c>
      <c r="D23" s="110"/>
      <c r="E23" s="110"/>
      <c r="F23" s="110"/>
      <c r="G23" s="111"/>
      <c r="H23" s="2"/>
      <c r="I23" s="135" t="str">
        <f>IF('Success Map'!F35="","--",'Success Map'!F35)</f>
        <v>1st Meeting (12/15)</v>
      </c>
      <c r="J23" s="136"/>
      <c r="K23" s="51" t="s">
        <v>3</v>
      </c>
      <c r="L23" s="154">
        <v>43586</v>
      </c>
      <c r="M23" s="154"/>
      <c r="N23" s="154">
        <v>43600</v>
      </c>
      <c r="O23" s="154"/>
      <c r="P23" s="154">
        <v>43607</v>
      </c>
      <c r="Q23" s="154"/>
      <c r="R23" s="154"/>
      <c r="S23" s="154"/>
      <c r="T23" s="154"/>
      <c r="U23" s="154"/>
    </row>
    <row r="24" spans="1:25" ht="14.85" customHeight="1" x14ac:dyDescent="0.45">
      <c r="A24" s="120"/>
      <c r="B24" s="121"/>
      <c r="C24" s="110"/>
      <c r="D24" s="110"/>
      <c r="E24" s="110"/>
      <c r="F24" s="110"/>
      <c r="G24" s="111"/>
      <c r="H24" s="2"/>
      <c r="I24" s="137"/>
      <c r="J24" s="138"/>
      <c r="K24" s="52" t="s">
        <v>113</v>
      </c>
      <c r="L24" s="153"/>
      <c r="M24" s="153"/>
      <c r="N24" s="153"/>
      <c r="O24" s="153"/>
      <c r="P24" s="153"/>
      <c r="Q24" s="153"/>
      <c r="R24" s="153"/>
      <c r="S24" s="153"/>
      <c r="T24" s="153"/>
      <c r="U24" s="153"/>
    </row>
    <row r="25" spans="1:25" ht="13.15" customHeight="1" x14ac:dyDescent="0.45">
      <c r="A25" s="120"/>
      <c r="B25" s="121"/>
      <c r="C25" s="110"/>
      <c r="D25" s="110"/>
      <c r="E25" s="110"/>
      <c r="F25" s="110"/>
      <c r="G25" s="111"/>
      <c r="H25" s="2"/>
      <c r="I25" s="137"/>
      <c r="J25" s="138"/>
      <c r="K25" s="52" t="s">
        <v>12</v>
      </c>
      <c r="L25" s="153"/>
      <c r="M25" s="153"/>
      <c r="N25" s="153"/>
      <c r="O25" s="153"/>
      <c r="P25" s="153"/>
      <c r="Q25" s="153"/>
      <c r="R25" s="153"/>
      <c r="S25" s="153"/>
      <c r="T25" s="153"/>
      <c r="U25" s="153"/>
    </row>
    <row r="26" spans="1:25" ht="14.25" customHeight="1" thickBot="1" x14ac:dyDescent="0.5">
      <c r="A26" s="91" t="s">
        <v>26</v>
      </c>
      <c r="B26" s="92"/>
      <c r="C26" s="246" t="s">
        <v>91</v>
      </c>
      <c r="D26" s="247"/>
      <c r="E26" s="247"/>
      <c r="F26" s="247"/>
      <c r="G26" s="248"/>
      <c r="H26" s="2"/>
      <c r="I26" s="139"/>
      <c r="J26" s="140"/>
      <c r="K26" s="53" t="s">
        <v>13</v>
      </c>
      <c r="L26" s="152"/>
      <c r="M26" s="152"/>
      <c r="N26" s="152"/>
      <c r="O26" s="152"/>
      <c r="P26" s="152"/>
      <c r="Q26" s="152"/>
      <c r="R26" s="152"/>
      <c r="S26" s="152"/>
      <c r="T26" s="152"/>
      <c r="U26" s="152"/>
    </row>
    <row r="27" spans="1:25" ht="14.25" customHeight="1" x14ac:dyDescent="0.45">
      <c r="A27" s="244"/>
      <c r="B27" s="245"/>
      <c r="C27" s="249"/>
      <c r="D27" s="250"/>
      <c r="E27" s="250"/>
      <c r="F27" s="250"/>
      <c r="G27" s="251"/>
      <c r="H27" s="2"/>
      <c r="I27" s="135" t="str">
        <f>IF('Success Map'!F36="","--",'Success Map'!F36)</f>
        <v>2nd Meeting (12/18)</v>
      </c>
      <c r="J27" s="136"/>
      <c r="K27" s="51" t="s">
        <v>3</v>
      </c>
      <c r="L27" s="154">
        <f>L23+10</f>
        <v>43596</v>
      </c>
      <c r="M27" s="154"/>
      <c r="N27" s="154">
        <f t="shared" ref="N27" si="0">N23+10</f>
        <v>43610</v>
      </c>
      <c r="O27" s="154"/>
      <c r="P27" s="154">
        <f t="shared" ref="P27" si="1">P23+10</f>
        <v>43617</v>
      </c>
      <c r="Q27" s="154"/>
      <c r="R27" s="154"/>
      <c r="S27" s="154"/>
      <c r="T27" s="154"/>
      <c r="U27" s="154"/>
      <c r="Y27" s="3"/>
    </row>
    <row r="28" spans="1:25" ht="14.25" customHeight="1" x14ac:dyDescent="0.45">
      <c r="A28" s="93"/>
      <c r="B28" s="94"/>
      <c r="C28" s="252"/>
      <c r="D28" s="253"/>
      <c r="E28" s="253"/>
      <c r="F28" s="253"/>
      <c r="G28" s="254"/>
      <c r="H28" s="2"/>
      <c r="I28" s="137"/>
      <c r="J28" s="138"/>
      <c r="K28" s="52" t="s">
        <v>113</v>
      </c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Y28" s="3"/>
    </row>
    <row r="29" spans="1:25" ht="14.65" customHeight="1" x14ac:dyDescent="0.45">
      <c r="A29" s="91" t="s">
        <v>24</v>
      </c>
      <c r="B29" s="92"/>
      <c r="C29" s="95" t="s">
        <v>92</v>
      </c>
      <c r="D29" s="96"/>
      <c r="E29" s="96"/>
      <c r="F29" s="96"/>
      <c r="G29" s="97"/>
      <c r="H29" s="2"/>
      <c r="I29" s="137"/>
      <c r="J29" s="138"/>
      <c r="K29" s="52" t="s">
        <v>12</v>
      </c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Y29" s="3"/>
    </row>
    <row r="30" spans="1:25" ht="14.25" customHeight="1" thickBot="1" x14ac:dyDescent="0.5">
      <c r="A30" s="93"/>
      <c r="B30" s="94"/>
      <c r="C30" s="98"/>
      <c r="D30" s="99"/>
      <c r="E30" s="99"/>
      <c r="F30" s="99"/>
      <c r="G30" s="100"/>
      <c r="H30" s="2"/>
      <c r="I30" s="139"/>
      <c r="J30" s="140"/>
      <c r="K30" s="53" t="s">
        <v>13</v>
      </c>
      <c r="L30" s="152"/>
      <c r="M30" s="152"/>
      <c r="N30" s="152"/>
      <c r="O30" s="152"/>
      <c r="P30" s="152"/>
      <c r="Q30" s="152"/>
      <c r="R30" s="152"/>
      <c r="S30" s="152"/>
      <c r="T30" s="152"/>
      <c r="U30" s="152"/>
    </row>
    <row r="31" spans="1:25" ht="14.25" customHeight="1" x14ac:dyDescent="0.45">
      <c r="A31" s="255" t="s">
        <v>2</v>
      </c>
      <c r="B31" s="256"/>
      <c r="C31" s="256"/>
      <c r="D31" s="256"/>
      <c r="E31" s="256"/>
      <c r="F31" s="256"/>
      <c r="G31" s="257"/>
      <c r="H31" s="2"/>
      <c r="I31" s="135" t="str">
        <f>IF('Success Map'!F37="","--",'Success Map'!F37)</f>
        <v>3rd Meeting (1/2)</v>
      </c>
      <c r="J31" s="136"/>
      <c r="K31" s="51" t="s">
        <v>3</v>
      </c>
      <c r="L31" s="154">
        <f>L27+8</f>
        <v>43604</v>
      </c>
      <c r="M31" s="154"/>
      <c r="N31" s="154">
        <f t="shared" ref="N31" si="2">N27+8</f>
        <v>43618</v>
      </c>
      <c r="O31" s="154"/>
      <c r="P31" s="154">
        <f t="shared" ref="P31" si="3">P27+8</f>
        <v>43625</v>
      </c>
      <c r="Q31" s="154"/>
      <c r="R31" s="154"/>
      <c r="S31" s="154"/>
      <c r="T31" s="154"/>
      <c r="U31" s="154"/>
    </row>
    <row r="32" spans="1:25" ht="14.25" customHeight="1" x14ac:dyDescent="0.45">
      <c r="A32" s="258"/>
      <c r="B32" s="259"/>
      <c r="C32" s="259"/>
      <c r="D32" s="259"/>
      <c r="E32" s="259"/>
      <c r="F32" s="259"/>
      <c r="G32" s="260"/>
      <c r="H32" s="2"/>
      <c r="I32" s="137"/>
      <c r="J32" s="138"/>
      <c r="K32" s="52" t="s">
        <v>113</v>
      </c>
      <c r="L32" s="153"/>
      <c r="M32" s="153"/>
      <c r="N32" s="153"/>
      <c r="O32" s="153"/>
      <c r="P32" s="153"/>
      <c r="Q32" s="153"/>
      <c r="R32" s="153"/>
      <c r="S32" s="153"/>
      <c r="T32" s="153"/>
      <c r="U32" s="153"/>
    </row>
    <row r="33" spans="1:21" ht="14.25" customHeight="1" x14ac:dyDescent="0.45">
      <c r="A33" s="261" t="s">
        <v>19</v>
      </c>
      <c r="B33" s="262"/>
      <c r="C33" s="95" t="s">
        <v>94</v>
      </c>
      <c r="D33" s="96"/>
      <c r="E33" s="96"/>
      <c r="F33" s="96"/>
      <c r="G33" s="97"/>
      <c r="H33" s="2"/>
      <c r="I33" s="137"/>
      <c r="J33" s="138"/>
      <c r="K33" s="52" t="s">
        <v>12</v>
      </c>
      <c r="L33" s="153"/>
      <c r="M33" s="153"/>
      <c r="N33" s="153"/>
      <c r="O33" s="153"/>
      <c r="P33" s="153"/>
      <c r="Q33" s="153"/>
      <c r="R33" s="153"/>
      <c r="S33" s="153"/>
      <c r="T33" s="153"/>
      <c r="U33" s="153"/>
    </row>
    <row r="34" spans="1:21" ht="14.65" customHeight="1" thickBot="1" x14ac:dyDescent="0.5">
      <c r="A34" s="263"/>
      <c r="B34" s="264"/>
      <c r="C34" s="267"/>
      <c r="D34" s="268"/>
      <c r="E34" s="268"/>
      <c r="F34" s="268"/>
      <c r="G34" s="269"/>
      <c r="H34" s="2"/>
      <c r="I34" s="139"/>
      <c r="J34" s="140"/>
      <c r="K34" s="53" t="s">
        <v>13</v>
      </c>
      <c r="L34" s="152"/>
      <c r="M34" s="152"/>
      <c r="N34" s="152"/>
      <c r="O34" s="152"/>
      <c r="P34" s="152"/>
      <c r="Q34" s="152"/>
      <c r="R34" s="152"/>
      <c r="S34" s="152"/>
      <c r="T34" s="152"/>
      <c r="U34" s="152"/>
    </row>
    <row r="35" spans="1:21" ht="14.45" customHeight="1" x14ac:dyDescent="0.45">
      <c r="A35" s="263"/>
      <c r="B35" s="264"/>
      <c r="C35" s="267"/>
      <c r="D35" s="268"/>
      <c r="E35" s="268"/>
      <c r="F35" s="268"/>
      <c r="G35" s="269"/>
      <c r="H35" s="2"/>
      <c r="I35" s="135" t="str">
        <f>IF('Success Map'!F38="","--",'Success Map'!F38)</f>
        <v>--</v>
      </c>
      <c r="J35" s="136"/>
      <c r="K35" s="51" t="s">
        <v>3</v>
      </c>
      <c r="L35" s="154"/>
      <c r="M35" s="154"/>
      <c r="N35" s="154"/>
      <c r="O35" s="154"/>
      <c r="P35" s="154"/>
      <c r="Q35" s="154"/>
      <c r="R35" s="154"/>
      <c r="S35" s="154"/>
      <c r="T35" s="154"/>
      <c r="U35" s="154"/>
    </row>
    <row r="36" spans="1:21" ht="14.45" customHeight="1" x14ac:dyDescent="0.45">
      <c r="A36" s="263"/>
      <c r="B36" s="264"/>
      <c r="C36" s="267"/>
      <c r="D36" s="268"/>
      <c r="E36" s="268"/>
      <c r="F36" s="268"/>
      <c r="G36" s="269"/>
      <c r="H36" s="2"/>
      <c r="I36" s="137"/>
      <c r="J36" s="138"/>
      <c r="K36" s="52" t="s">
        <v>113</v>
      </c>
      <c r="L36" s="153"/>
      <c r="M36" s="153"/>
      <c r="N36" s="153"/>
      <c r="O36" s="153"/>
      <c r="P36" s="153"/>
      <c r="Q36" s="153"/>
      <c r="R36" s="153"/>
      <c r="S36" s="153"/>
      <c r="T36" s="153"/>
      <c r="U36" s="153"/>
    </row>
    <row r="37" spans="1:21" ht="14.45" customHeight="1" x14ac:dyDescent="0.45">
      <c r="A37" s="265"/>
      <c r="B37" s="266"/>
      <c r="C37" s="98"/>
      <c r="D37" s="99"/>
      <c r="E37" s="99"/>
      <c r="F37" s="99"/>
      <c r="G37" s="100"/>
      <c r="H37" s="2"/>
      <c r="I37" s="137"/>
      <c r="J37" s="138"/>
      <c r="K37" s="52" t="s">
        <v>12</v>
      </c>
      <c r="L37" s="153"/>
      <c r="M37" s="153"/>
      <c r="N37" s="153"/>
      <c r="O37" s="153"/>
      <c r="P37" s="153"/>
      <c r="Q37" s="153"/>
      <c r="R37" s="153"/>
      <c r="S37" s="153"/>
      <c r="T37" s="153"/>
      <c r="U37" s="153"/>
    </row>
    <row r="38" spans="1:21" ht="14.25" customHeight="1" thickBot="1" x14ac:dyDescent="0.5">
      <c r="A38" s="261" t="s">
        <v>11</v>
      </c>
      <c r="B38" s="262"/>
      <c r="C38" s="95" t="s">
        <v>96</v>
      </c>
      <c r="D38" s="96"/>
      <c r="E38" s="96"/>
      <c r="F38" s="96"/>
      <c r="G38" s="97"/>
      <c r="H38" s="2"/>
      <c r="I38" s="137"/>
      <c r="J38" s="138"/>
      <c r="K38" s="54" t="s">
        <v>13</v>
      </c>
      <c r="L38" s="152"/>
      <c r="M38" s="152"/>
      <c r="N38" s="152"/>
      <c r="O38" s="152"/>
      <c r="P38" s="152"/>
      <c r="Q38" s="152"/>
      <c r="R38" s="152"/>
      <c r="S38" s="152"/>
      <c r="T38" s="152"/>
      <c r="U38" s="152"/>
    </row>
    <row r="39" spans="1:21" ht="14.65" customHeight="1" x14ac:dyDescent="0.45">
      <c r="A39" s="263"/>
      <c r="B39" s="264"/>
      <c r="C39" s="267"/>
      <c r="D39" s="268"/>
      <c r="E39" s="268"/>
      <c r="F39" s="268"/>
      <c r="G39" s="269"/>
      <c r="H39" s="2"/>
      <c r="I39" s="144" t="s">
        <v>14</v>
      </c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6"/>
    </row>
    <row r="40" spans="1:21" ht="14.25" customHeight="1" thickBot="1" x14ac:dyDescent="0.5">
      <c r="A40" s="263"/>
      <c r="B40" s="264"/>
      <c r="C40" s="267"/>
      <c r="D40" s="268"/>
      <c r="E40" s="268"/>
      <c r="F40" s="268"/>
      <c r="G40" s="269"/>
      <c r="H40" s="2"/>
      <c r="I40" s="147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9"/>
    </row>
    <row r="41" spans="1:21" ht="14.25" customHeight="1" thickBot="1" x14ac:dyDescent="0.5">
      <c r="A41" s="265"/>
      <c r="B41" s="266"/>
      <c r="C41" s="98"/>
      <c r="D41" s="99"/>
      <c r="E41" s="99"/>
      <c r="F41" s="99"/>
      <c r="G41" s="100"/>
      <c r="H41" s="2"/>
      <c r="I41" s="12" t="s">
        <v>7</v>
      </c>
      <c r="J41" s="88" t="str">
        <f>'Success Map'!F47</f>
        <v>Tasks completed to schedule</v>
      </c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90"/>
    </row>
    <row r="42" spans="1:21" ht="14.25" customHeight="1" x14ac:dyDescent="0.45">
      <c r="A42" s="270" t="s">
        <v>20</v>
      </c>
      <c r="B42" s="273">
        <v>1</v>
      </c>
      <c r="C42" s="95" t="s">
        <v>95</v>
      </c>
      <c r="D42" s="96"/>
      <c r="E42" s="96"/>
      <c r="F42" s="96"/>
      <c r="G42" s="97"/>
      <c r="H42" s="2"/>
      <c r="I42" s="55" t="s">
        <v>31</v>
      </c>
      <c r="J42" s="18">
        <f>'Success Map'!F46</f>
        <v>43466</v>
      </c>
      <c r="K42" s="10">
        <f>DATE(YEAR(J42),MONTH(J42)+IF('Success Map'!$J$46='Success Map'!$R$44,'Success Map'!$I$46,0),DAY(J42)+IF('Success Map'!$J$46&lt;&gt;'Success Map'!$R$44,'Success Map'!$I$46,0))</f>
        <v>43497</v>
      </c>
      <c r="L42" s="10">
        <f>DATE(YEAR(K42),MONTH(K42)+IF('Success Map'!$J$46='Success Map'!$R$44,'Success Map'!$I$46,0),DAY(K42)+IF('Success Map'!$J$46&lt;&gt;'Success Map'!$R$44,'Success Map'!$I$46,0))</f>
        <v>43525</v>
      </c>
      <c r="M42" s="10">
        <f>DATE(YEAR(L42),MONTH(L42)+IF('Success Map'!$J$46='Success Map'!$R$44,'Success Map'!$I$46,0),DAY(L42)+IF('Success Map'!$J$46&lt;&gt;'Success Map'!$R$44,'Success Map'!$I$46,0))</f>
        <v>43556</v>
      </c>
      <c r="N42" s="10">
        <f>DATE(YEAR(M42),MONTH(M42)+IF('Success Map'!$J$46='Success Map'!$R$44,'Success Map'!$I$46,0),DAY(M42)+IF('Success Map'!$J$46&lt;&gt;'Success Map'!$R$44,'Success Map'!$I$46,0))</f>
        <v>43586</v>
      </c>
      <c r="O42" s="10">
        <f>DATE(YEAR(N42),MONTH(N42)+IF('Success Map'!$J$46='Success Map'!$R$44,'Success Map'!$I$46,0),DAY(N42)+IF('Success Map'!$J$46&lt;&gt;'Success Map'!$R$44,'Success Map'!$I$46,0))</f>
        <v>43617</v>
      </c>
      <c r="P42" s="10">
        <f>DATE(YEAR(O42),MONTH(O42)+IF('Success Map'!$J$46='Success Map'!$R$44,'Success Map'!$I$46,0),DAY(O42)+IF('Success Map'!$J$46&lt;&gt;'Success Map'!$R$44,'Success Map'!$I$46,0))</f>
        <v>43647</v>
      </c>
      <c r="Q42" s="10">
        <f>DATE(YEAR(P42),MONTH(P42)+IF('Success Map'!$J$46='Success Map'!$R$44,'Success Map'!$I$46,0),DAY(P42)+IF('Success Map'!$J$46&lt;&gt;'Success Map'!$R$44,'Success Map'!$I$46,0))</f>
        <v>43678</v>
      </c>
      <c r="R42" s="10">
        <f>DATE(YEAR(Q42),MONTH(Q42)+IF('Success Map'!$J$46='Success Map'!$R$44,'Success Map'!$I$46,0),DAY(Q42)+IF('Success Map'!$J$46&lt;&gt;'Success Map'!$R$44,'Success Map'!$I$46,0))</f>
        <v>43709</v>
      </c>
      <c r="S42" s="10">
        <f>DATE(YEAR(R42),MONTH(R42)+IF('Success Map'!$J$46='Success Map'!$R$44,'Success Map'!$I$46,0),DAY(R42)+IF('Success Map'!$J$46&lt;&gt;'Success Map'!$R$44,'Success Map'!$I$46,0))</f>
        <v>43739</v>
      </c>
      <c r="T42" s="10">
        <f>DATE(YEAR(S42),MONTH(S42)+IF('Success Map'!$J$46='Success Map'!$R$44,'Success Map'!$I$46,0),DAY(S42)+IF('Success Map'!$J$46&lt;&gt;'Success Map'!$R$44,'Success Map'!$I$46,0))</f>
        <v>43770</v>
      </c>
      <c r="U42" s="11">
        <f>DATE(YEAR(T42),MONTH(T42)+IF('Success Map'!$J$46='Success Map'!$R$44,'Success Map'!$I$46,0),DAY(T42)+IF('Success Map'!$J$46&lt;&gt;'Success Map'!$R$44,'Success Map'!$I$46,0))</f>
        <v>43800</v>
      </c>
    </row>
    <row r="43" spans="1:21" ht="14.25" customHeight="1" x14ac:dyDescent="0.45">
      <c r="A43" s="271"/>
      <c r="B43" s="274"/>
      <c r="C43" s="267"/>
      <c r="D43" s="268"/>
      <c r="E43" s="268"/>
      <c r="F43" s="268"/>
      <c r="G43" s="269"/>
      <c r="H43" s="2"/>
      <c r="I43" s="56" t="s">
        <v>3</v>
      </c>
      <c r="J43" s="85">
        <f>IF('Success Map'!F49="","",'Success Map'!F49)</f>
        <v>0.9</v>
      </c>
      <c r="K43" s="85">
        <f>IF('Success Map'!G49="","",'Success Map'!G49)</f>
        <v>0.9</v>
      </c>
      <c r="L43" s="85">
        <f>IF('Success Map'!H49="","",'Success Map'!H49)</f>
        <v>0.9</v>
      </c>
      <c r="M43" s="85">
        <f>IF('Success Map'!I49="","",'Success Map'!I49)</f>
        <v>0.9</v>
      </c>
      <c r="N43" s="85">
        <f>IF('Success Map'!J49="","",'Success Map'!J49)</f>
        <v>0.9</v>
      </c>
      <c r="O43" s="85">
        <f>IF('Success Map'!K49="","",'Success Map'!K49)</f>
        <v>0.9</v>
      </c>
      <c r="P43" s="85">
        <f>IF('Success Map'!L49="","",'Success Map'!L49)</f>
        <v>0.9</v>
      </c>
      <c r="Q43" s="85">
        <f>IF('Success Map'!M49="","",'Success Map'!M49)</f>
        <v>0.9</v>
      </c>
      <c r="R43" s="85">
        <f>IF('Success Map'!N49="","",'Success Map'!N49)</f>
        <v>0.9</v>
      </c>
      <c r="S43" s="85">
        <f>IF('Success Map'!O49="","",'Success Map'!O49)</f>
        <v>0.9</v>
      </c>
      <c r="T43" s="85">
        <f>IF('Success Map'!P49="","",'Success Map'!P49)</f>
        <v>0.9</v>
      </c>
      <c r="U43" s="86">
        <f>IF('Success Map'!Q49="","",'Success Map'!Q49)</f>
        <v>0.9</v>
      </c>
    </row>
    <row r="44" spans="1:21" ht="14.25" customHeight="1" x14ac:dyDescent="0.45">
      <c r="A44" s="271"/>
      <c r="B44" s="274"/>
      <c r="C44" s="267"/>
      <c r="D44" s="268"/>
      <c r="E44" s="268"/>
      <c r="F44" s="268"/>
      <c r="G44" s="269"/>
      <c r="H44" s="2"/>
      <c r="I44" s="56" t="s">
        <v>113</v>
      </c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1"/>
    </row>
    <row r="45" spans="1:21" ht="16.149999999999999" customHeight="1" x14ac:dyDescent="0.45">
      <c r="A45" s="271"/>
      <c r="B45" s="275"/>
      <c r="C45" s="98"/>
      <c r="D45" s="99"/>
      <c r="E45" s="99"/>
      <c r="F45" s="99"/>
      <c r="G45" s="100"/>
      <c r="H45" s="2"/>
      <c r="I45" s="56" t="s">
        <v>41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1"/>
    </row>
    <row r="46" spans="1:21" ht="14.65" customHeight="1" thickBot="1" x14ac:dyDescent="0.5">
      <c r="A46" s="271"/>
      <c r="B46" s="273">
        <v>2</v>
      </c>
      <c r="C46" s="95" t="s">
        <v>97</v>
      </c>
      <c r="D46" s="96"/>
      <c r="E46" s="96"/>
      <c r="F46" s="96"/>
      <c r="G46" s="97"/>
      <c r="H46" s="2"/>
      <c r="I46" s="57" t="s">
        <v>42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3"/>
    </row>
    <row r="47" spans="1:21" ht="14.85" customHeight="1" thickBot="1" x14ac:dyDescent="0.5">
      <c r="A47" s="271"/>
      <c r="B47" s="274"/>
      <c r="C47" s="267"/>
      <c r="D47" s="268"/>
      <c r="E47" s="268"/>
      <c r="F47" s="268"/>
      <c r="G47" s="269"/>
      <c r="H47" s="2"/>
      <c r="I47" s="165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7"/>
    </row>
    <row r="48" spans="1:21" ht="14.65" customHeight="1" thickBot="1" x14ac:dyDescent="0.5">
      <c r="A48" s="271"/>
      <c r="B48" s="274"/>
      <c r="C48" s="267"/>
      <c r="D48" s="268"/>
      <c r="E48" s="268"/>
      <c r="F48" s="268"/>
      <c r="G48" s="269"/>
      <c r="H48" s="2"/>
      <c r="I48" s="12" t="s">
        <v>8</v>
      </c>
      <c r="J48" s="88" t="str">
        <f>'Success Map'!F51</f>
        <v>Revenue earned throughout year</v>
      </c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90"/>
    </row>
    <row r="49" spans="1:21" ht="14.25" customHeight="1" x14ac:dyDescent="0.45">
      <c r="A49" s="271"/>
      <c r="B49" s="275"/>
      <c r="C49" s="98"/>
      <c r="D49" s="99"/>
      <c r="E49" s="99"/>
      <c r="F49" s="99"/>
      <c r="G49" s="100"/>
      <c r="H49" s="2"/>
      <c r="I49" s="55" t="s">
        <v>31</v>
      </c>
      <c r="J49" s="18">
        <f t="shared" ref="J49:U49" si="4">J42</f>
        <v>43466</v>
      </c>
      <c r="K49" s="10">
        <f t="shared" si="4"/>
        <v>43497</v>
      </c>
      <c r="L49" s="10">
        <f t="shared" si="4"/>
        <v>43525</v>
      </c>
      <c r="M49" s="10">
        <f t="shared" si="4"/>
        <v>43556</v>
      </c>
      <c r="N49" s="10">
        <f t="shared" si="4"/>
        <v>43586</v>
      </c>
      <c r="O49" s="10">
        <f t="shared" si="4"/>
        <v>43617</v>
      </c>
      <c r="P49" s="10">
        <f t="shared" si="4"/>
        <v>43647</v>
      </c>
      <c r="Q49" s="10">
        <f t="shared" si="4"/>
        <v>43678</v>
      </c>
      <c r="R49" s="10">
        <f t="shared" si="4"/>
        <v>43709</v>
      </c>
      <c r="S49" s="10">
        <f t="shared" si="4"/>
        <v>43739</v>
      </c>
      <c r="T49" s="10">
        <f t="shared" si="4"/>
        <v>43770</v>
      </c>
      <c r="U49" s="11">
        <f t="shared" si="4"/>
        <v>43800</v>
      </c>
    </row>
    <row r="50" spans="1:21" ht="14.25" customHeight="1" x14ac:dyDescent="0.45">
      <c r="A50" s="271"/>
      <c r="B50" s="108">
        <v>3</v>
      </c>
      <c r="C50" s="110" t="s">
        <v>98</v>
      </c>
      <c r="D50" s="110"/>
      <c r="E50" s="110"/>
      <c r="F50" s="110"/>
      <c r="G50" s="111"/>
      <c r="H50" s="2"/>
      <c r="I50" s="56" t="s">
        <v>3</v>
      </c>
      <c r="J50" s="44">
        <f>IF('Success Map'!F53="","",'Success Map'!F53)</f>
        <v>166.66666666666666</v>
      </c>
      <c r="K50" s="44">
        <f>IF('Success Map'!G53="","",'Success Map'!G53)</f>
        <v>333.33333333333331</v>
      </c>
      <c r="L50" s="44">
        <f>IF('Success Map'!H53="","",'Success Map'!H53)</f>
        <v>500</v>
      </c>
      <c r="M50" s="44">
        <f>IF('Success Map'!I53="","",'Success Map'!I53)</f>
        <v>666.66666666666663</v>
      </c>
      <c r="N50" s="44">
        <f>IF('Success Map'!J53="","",'Success Map'!J53)</f>
        <v>833.33333333333326</v>
      </c>
      <c r="O50" s="44">
        <f>IF('Success Map'!K53="","",'Success Map'!K53)</f>
        <v>999.99999999999989</v>
      </c>
      <c r="P50" s="44">
        <f>IF('Success Map'!L53="","",'Success Map'!L53)</f>
        <v>1166.6666666666665</v>
      </c>
      <c r="Q50" s="44">
        <f>IF('Success Map'!M53="","",'Success Map'!M53)</f>
        <v>1333.3333333333333</v>
      </c>
      <c r="R50" s="44">
        <f>IF('Success Map'!N53="","",'Success Map'!N53)</f>
        <v>1500</v>
      </c>
      <c r="S50" s="44">
        <f>IF('Success Map'!O53="","",'Success Map'!O53)</f>
        <v>1666.6666666666667</v>
      </c>
      <c r="T50" s="44">
        <f>IF('Success Map'!P53="","",'Success Map'!P53)</f>
        <v>1833.3333333333335</v>
      </c>
      <c r="U50" s="45">
        <f>IF('Success Map'!Q53="","",'Success Map'!Q53)</f>
        <v>2000.0000000000002</v>
      </c>
    </row>
    <row r="51" spans="1:21" ht="14.25" customHeight="1" x14ac:dyDescent="0.45">
      <c r="A51" s="271"/>
      <c r="B51" s="108"/>
      <c r="C51" s="110"/>
      <c r="D51" s="110"/>
      <c r="E51" s="110"/>
      <c r="F51" s="110"/>
      <c r="G51" s="111"/>
      <c r="H51" s="2"/>
      <c r="I51" s="56" t="s">
        <v>113</v>
      </c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1"/>
    </row>
    <row r="52" spans="1:21" ht="14.25" customHeight="1" x14ac:dyDescent="0.45">
      <c r="A52" s="271"/>
      <c r="B52" s="108"/>
      <c r="C52" s="110"/>
      <c r="D52" s="110"/>
      <c r="E52" s="110"/>
      <c r="F52" s="110"/>
      <c r="G52" s="111"/>
      <c r="H52" s="2"/>
      <c r="I52" s="56" t="s">
        <v>12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9"/>
    </row>
    <row r="53" spans="1:21" ht="14.65" customHeight="1" thickBot="1" x14ac:dyDescent="0.5">
      <c r="A53" s="272"/>
      <c r="B53" s="109"/>
      <c r="C53" s="112"/>
      <c r="D53" s="112"/>
      <c r="E53" s="112"/>
      <c r="F53" s="112"/>
      <c r="G53" s="113"/>
      <c r="I53" s="57" t="s">
        <v>13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20"/>
    </row>
    <row r="54" spans="1:21" x14ac:dyDescent="0.4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</row>
    <row r="55" spans="1:21" x14ac:dyDescent="0.4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</row>
    <row r="56" spans="1:21" x14ac:dyDescent="0.4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spans="1:21" x14ac:dyDescent="0.4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spans="1:21" x14ac:dyDescent="0.4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</row>
    <row r="59" spans="1:21" x14ac:dyDescent="0.4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</row>
  </sheetData>
  <sheetProtection formatCells="0" formatColumns="0" formatRows="0"/>
  <mergeCells count="166">
    <mergeCell ref="A26:B28"/>
    <mergeCell ref="C26:G28"/>
    <mergeCell ref="A31:G32"/>
    <mergeCell ref="A33:B37"/>
    <mergeCell ref="C33:G37"/>
    <mergeCell ref="A38:B41"/>
    <mergeCell ref="C38:G41"/>
    <mergeCell ref="A42:A53"/>
    <mergeCell ref="B42:B45"/>
    <mergeCell ref="C42:G45"/>
    <mergeCell ref="B46:B49"/>
    <mergeCell ref="C46:G49"/>
    <mergeCell ref="T24:U24"/>
    <mergeCell ref="L28:M28"/>
    <mergeCell ref="N28:O28"/>
    <mergeCell ref="P28:Q28"/>
    <mergeCell ref="R28:S28"/>
    <mergeCell ref="T28:U28"/>
    <mergeCell ref="L32:M32"/>
    <mergeCell ref="N32:O32"/>
    <mergeCell ref="P32:Q32"/>
    <mergeCell ref="R32:S32"/>
    <mergeCell ref="T32:U32"/>
    <mergeCell ref="A2:G3"/>
    <mergeCell ref="A16:G17"/>
    <mergeCell ref="I20:U21"/>
    <mergeCell ref="I22:J22"/>
    <mergeCell ref="R37:S37"/>
    <mergeCell ref="T37:U37"/>
    <mergeCell ref="T26:U26"/>
    <mergeCell ref="T30:U30"/>
    <mergeCell ref="T35:U35"/>
    <mergeCell ref="R23:S23"/>
    <mergeCell ref="T23:U23"/>
    <mergeCell ref="N22:O22"/>
    <mergeCell ref="T34:U34"/>
    <mergeCell ref="L30:M30"/>
    <mergeCell ref="L34:M34"/>
    <mergeCell ref="N34:O34"/>
    <mergeCell ref="P34:Q34"/>
    <mergeCell ref="R34:S34"/>
    <mergeCell ref="P30:Q30"/>
    <mergeCell ref="L33:M33"/>
    <mergeCell ref="R30:S30"/>
    <mergeCell ref="R35:S35"/>
    <mergeCell ref="L38:M38"/>
    <mergeCell ref="N38:O38"/>
    <mergeCell ref="P38:Q38"/>
    <mergeCell ref="N35:O35"/>
    <mergeCell ref="I47:U47"/>
    <mergeCell ref="T38:U38"/>
    <mergeCell ref="L35:M35"/>
    <mergeCell ref="N37:O37"/>
    <mergeCell ref="P37:Q37"/>
    <mergeCell ref="L37:M37"/>
    <mergeCell ref="L36:M36"/>
    <mergeCell ref="N36:O36"/>
    <mergeCell ref="P36:Q36"/>
    <mergeCell ref="R36:S36"/>
    <mergeCell ref="T36:U36"/>
    <mergeCell ref="T1:U1"/>
    <mergeCell ref="P23:Q23"/>
    <mergeCell ref="T25:U25"/>
    <mergeCell ref="P31:Q31"/>
    <mergeCell ref="R31:S31"/>
    <mergeCell ref="N31:O31"/>
    <mergeCell ref="T31:U31"/>
    <mergeCell ref="T33:U33"/>
    <mergeCell ref="Q1:R1"/>
    <mergeCell ref="N27:O27"/>
    <mergeCell ref="P27:Q27"/>
    <mergeCell ref="R27:S27"/>
    <mergeCell ref="T27:U27"/>
    <mergeCell ref="N23:O23"/>
    <mergeCell ref="N26:O26"/>
    <mergeCell ref="T22:U22"/>
    <mergeCell ref="R22:S22"/>
    <mergeCell ref="P33:Q33"/>
    <mergeCell ref="I2:U3"/>
    <mergeCell ref="T29:U29"/>
    <mergeCell ref="B1:L1"/>
    <mergeCell ref="N1:O1"/>
    <mergeCell ref="A21:B22"/>
    <mergeCell ref="A23:B25"/>
    <mergeCell ref="I23:J26"/>
    <mergeCell ref="L22:M22"/>
    <mergeCell ref="L27:M27"/>
    <mergeCell ref="L25:M25"/>
    <mergeCell ref="N29:O29"/>
    <mergeCell ref="R29:S29"/>
    <mergeCell ref="P22:Q22"/>
    <mergeCell ref="P29:Q29"/>
    <mergeCell ref="N25:O25"/>
    <mergeCell ref="P25:Q25"/>
    <mergeCell ref="R25:S25"/>
    <mergeCell ref="P26:Q26"/>
    <mergeCell ref="R26:S26"/>
    <mergeCell ref="L26:M26"/>
    <mergeCell ref="L23:M23"/>
    <mergeCell ref="L29:M29"/>
    <mergeCell ref="L24:M24"/>
    <mergeCell ref="N24:O24"/>
    <mergeCell ref="P24:Q24"/>
    <mergeCell ref="R24:S24"/>
    <mergeCell ref="A6:B9"/>
    <mergeCell ref="C6:G9"/>
    <mergeCell ref="I27:J30"/>
    <mergeCell ref="I31:J34"/>
    <mergeCell ref="I35:J38"/>
    <mergeCell ref="I39:U40"/>
    <mergeCell ref="A10:B11"/>
    <mergeCell ref="A12:B13"/>
    <mergeCell ref="A14:B15"/>
    <mergeCell ref="C10:G11"/>
    <mergeCell ref="C12:G13"/>
    <mergeCell ref="C14:G15"/>
    <mergeCell ref="N30:O30"/>
    <mergeCell ref="N33:O33"/>
    <mergeCell ref="R33:S33"/>
    <mergeCell ref="L31:M31"/>
    <mergeCell ref="R38:S38"/>
    <mergeCell ref="P35:Q35"/>
    <mergeCell ref="I15:L15"/>
    <mergeCell ref="I16:L16"/>
    <mergeCell ref="A18:B20"/>
    <mergeCell ref="C18:G20"/>
    <mergeCell ref="I5:L5"/>
    <mergeCell ref="I7:L7"/>
    <mergeCell ref="I8:L8"/>
    <mergeCell ref="I9:L9"/>
    <mergeCell ref="I10:L10"/>
    <mergeCell ref="I11:L11"/>
    <mergeCell ref="I12:L12"/>
    <mergeCell ref="I13:L13"/>
    <mergeCell ref="I14:L14"/>
    <mergeCell ref="I17:L17"/>
    <mergeCell ref="I18:L18"/>
    <mergeCell ref="I19:L19"/>
    <mergeCell ref="A4:B5"/>
    <mergeCell ref="C4:G5"/>
    <mergeCell ref="I4:L4"/>
    <mergeCell ref="C21:G22"/>
    <mergeCell ref="C23:G25"/>
    <mergeCell ref="J48:U48"/>
    <mergeCell ref="J41:U41"/>
    <mergeCell ref="A29:B30"/>
    <mergeCell ref="C29:G30"/>
    <mergeCell ref="M4:O4"/>
    <mergeCell ref="M5:O5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6:O6"/>
    <mergeCell ref="I6:L6"/>
    <mergeCell ref="B50:B53"/>
    <mergeCell ref="C50:G53"/>
  </mergeCells>
  <dataValidations count="1">
    <dataValidation type="date" operator="greaterThan" allowBlank="1" showInputMessage="1" showErrorMessage="1" sqref="S5:U19 P5:P19 L23:U38" xr:uid="{260E8234-1594-4D19-A12C-7AEAFC35B004}">
      <formula1>40179</formula1>
    </dataValidation>
  </dataValidations>
  <pageMargins left="0.25" right="0.25" top="0.75" bottom="0.75" header="0.3" footer="0.3"/>
  <pageSetup scale="6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C3178FAF-4732-4E1E-A1DF-80276817A840}">
            <xm:f>'Success Map'!$V$1&lt;2</xm:f>
            <x14:dxf>
              <font>
                <color theme="1" tint="0.499984740745262"/>
              </font>
              <fill>
                <patternFill>
                  <bgColor theme="0" tint="-0.24994659260841701"/>
                </patternFill>
              </fill>
            </x14:dxf>
          </x14:cfRule>
          <xm:sqref>A16:G25 A29 C29 A26 C26</xm:sqref>
        </x14:conditionalFormatting>
        <x14:conditionalFormatting xmlns:xm="http://schemas.microsoft.com/office/excel/2006/main">
          <x14:cfRule type="expression" priority="17" id="{B221435B-8B6C-4D41-8B35-FEF39D0E82DB}">
            <xm:f>'Success Map'!$V$1&lt;3</xm:f>
            <x14:dxf>
              <font>
                <color theme="1" tint="0.499984740745262"/>
              </font>
              <fill>
                <patternFill>
                  <bgColor theme="0" tint="-0.24994659260841701"/>
                </patternFill>
              </fill>
            </x14:dxf>
          </x14:cfRule>
          <xm:sqref>A31 A33 C33 A38 C38 A42:C42 B50:G53 B46:C46</xm:sqref>
        </x14:conditionalFormatting>
        <x14:conditionalFormatting xmlns:xm="http://schemas.microsoft.com/office/excel/2006/main">
          <x14:cfRule type="expression" priority="18" id="{9F46C517-6AD8-4301-93C4-69F821469102}">
            <xm:f>'Success Map'!$V$1&lt;4</xm:f>
            <x14:dxf>
              <font>
                <color theme="1" tint="0.34998626667073579"/>
              </font>
              <fill>
                <patternFill>
                  <bgColor theme="0" tint="-0.24994659260841701"/>
                </patternFill>
              </fill>
            </x14:dxf>
          </x14:cfRule>
          <xm:sqref>I2:U53</xm:sqref>
        </x14:conditionalFormatting>
        <x14:conditionalFormatting xmlns:xm="http://schemas.microsoft.com/office/excel/2006/main">
          <x14:cfRule type="expression" priority="23" id="{D0F03076-4921-4FEF-99AE-18A081A48D49}">
            <xm:f>'Success Map'!$V$1&lt;4</xm:f>
            <x14:dxf>
              <font>
                <color theme="1" tint="0.499984740745262"/>
              </font>
              <fill>
                <patternFill>
                  <bgColor theme="0" tint="-0.24994659260841701"/>
                </patternFill>
              </fill>
            </x14:dxf>
          </x14:cfRule>
          <xm:sqref>S1:U1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DF9E4E-FB0B-4E2D-A54D-398E535A143E}">
          <x14:formula1>
            <xm:f>'Success Map'!$U$1:$U$4</xm:f>
          </x14:formula1>
          <xm:sqref>N1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4ADF-893A-4D49-955E-CCC621ACA31C}">
  <dimension ref="A1:V65"/>
  <sheetViews>
    <sheetView topLeftCell="A9" zoomScale="90" zoomScaleNormal="90" workbookViewId="0">
      <selection activeCell="O20" sqref="O20"/>
    </sheetView>
  </sheetViews>
  <sheetFormatPr defaultRowHeight="14.25" x14ac:dyDescent="0.45"/>
  <cols>
    <col min="1" max="1" width="34.3984375" customWidth="1"/>
    <col min="2" max="2" width="8.9296875" customWidth="1"/>
    <col min="3" max="3" width="9" customWidth="1"/>
    <col min="5" max="5" width="9" customWidth="1"/>
    <col min="6" max="6" width="9.86328125" customWidth="1"/>
    <col min="7" max="7" width="9.1328125" bestFit="1" customWidth="1"/>
    <col min="8" max="8" width="10.1328125" bestFit="1" customWidth="1"/>
    <col min="9" max="9" width="9.1328125" bestFit="1" customWidth="1"/>
    <col min="10" max="11" width="9" customWidth="1"/>
    <col min="12" max="13" width="9.86328125" bestFit="1" customWidth="1"/>
    <col min="14" max="14" width="9.53125" customWidth="1"/>
    <col min="15" max="15" width="9.86328125" bestFit="1" customWidth="1"/>
    <col min="16" max="16" width="10.3984375" customWidth="1"/>
    <col min="17" max="17" width="9.33203125" customWidth="1"/>
  </cols>
  <sheetData>
    <row r="1" spans="1:22" x14ac:dyDescent="0.45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3"/>
      <c r="U1" s="1" t="s">
        <v>34</v>
      </c>
      <c r="V1" s="1">
        <f>IF(Status="",0,INT(LEFT(Status,1)))</f>
        <v>4</v>
      </c>
    </row>
    <row r="2" spans="1:22" x14ac:dyDescent="0.45">
      <c r="A2" s="184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6"/>
      <c r="U2" s="1" t="s">
        <v>35</v>
      </c>
      <c r="V2" s="1"/>
    </row>
    <row r="3" spans="1:22" x14ac:dyDescent="0.45">
      <c r="A3" s="192" t="s">
        <v>75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4"/>
      <c r="U3" t="s">
        <v>36</v>
      </c>
    </row>
    <row r="4" spans="1:22" x14ac:dyDescent="0.45">
      <c r="A4" s="192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4"/>
      <c r="U4" t="s">
        <v>48</v>
      </c>
    </row>
    <row r="5" spans="1:22" x14ac:dyDescent="0.45">
      <c r="A5" s="192" t="s">
        <v>70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4"/>
    </row>
    <row r="6" spans="1:22" x14ac:dyDescent="0.45">
      <c r="A6" s="192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4"/>
    </row>
    <row r="7" spans="1:22" ht="18" customHeight="1" x14ac:dyDescent="0.45">
      <c r="A7" s="195" t="s">
        <v>71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7"/>
    </row>
    <row r="8" spans="1:22" ht="18" customHeight="1" thickBot="1" x14ac:dyDescent="0.5">
      <c r="A8" s="198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200"/>
    </row>
    <row r="9" spans="1:22" ht="14.65" thickBot="1" x14ac:dyDescent="0.5"/>
    <row r="10" spans="1:22" ht="14.25" customHeight="1" x14ac:dyDescent="0.45">
      <c r="A10" s="203" t="s">
        <v>68</v>
      </c>
      <c r="B10" s="203"/>
      <c r="C10" s="203"/>
      <c r="D10" s="203"/>
      <c r="E10" s="203"/>
      <c r="F10" s="203"/>
      <c r="G10" s="203"/>
      <c r="H10" s="201" t="s">
        <v>46</v>
      </c>
      <c r="I10" s="202"/>
      <c r="J10" s="202"/>
      <c r="K10" s="202"/>
      <c r="L10" s="202"/>
      <c r="M10" s="202"/>
      <c r="N10" s="202"/>
      <c r="O10" s="202"/>
      <c r="P10" s="202"/>
      <c r="Q10" s="81" t="s">
        <v>28</v>
      </c>
    </row>
    <row r="11" spans="1:22" ht="14.65" customHeight="1" thickBot="1" x14ac:dyDescent="0.5">
      <c r="A11" s="203"/>
      <c r="B11" s="203"/>
      <c r="C11" s="203"/>
      <c r="D11" s="203"/>
      <c r="E11" s="203"/>
      <c r="F11" s="203"/>
      <c r="G11" s="203"/>
      <c r="H11" s="158"/>
      <c r="I11" s="159"/>
      <c r="J11" s="159"/>
      <c r="K11" s="159"/>
      <c r="L11" s="159"/>
      <c r="M11" s="159"/>
      <c r="N11" s="159"/>
      <c r="O11" s="159"/>
      <c r="P11" s="159"/>
      <c r="Q11" s="39">
        <v>43770</v>
      </c>
    </row>
    <row r="12" spans="1:22" ht="15.75" customHeight="1" x14ac:dyDescent="0.45">
      <c r="A12" s="188" t="s">
        <v>50</v>
      </c>
      <c r="B12" s="188"/>
      <c r="C12" s="188"/>
      <c r="D12" s="188"/>
      <c r="E12" s="188"/>
      <c r="F12" s="188"/>
      <c r="G12" s="218"/>
      <c r="H12" s="227" t="s">
        <v>17</v>
      </c>
      <c r="I12" s="228"/>
      <c r="J12" s="228"/>
      <c r="K12" s="228"/>
      <c r="L12" s="237" t="s">
        <v>1</v>
      </c>
      <c r="M12" s="221" t="s">
        <v>53</v>
      </c>
      <c r="N12" s="221" t="s">
        <v>55</v>
      </c>
      <c r="O12" s="221" t="s">
        <v>54</v>
      </c>
      <c r="P12" s="223" t="s">
        <v>81</v>
      </c>
      <c r="Q12" s="225" t="s">
        <v>3</v>
      </c>
    </row>
    <row r="13" spans="1:22" ht="14.65" customHeight="1" thickBot="1" x14ac:dyDescent="0.5">
      <c r="A13" s="188"/>
      <c r="B13" s="188"/>
      <c r="C13" s="188"/>
      <c r="D13" s="188"/>
      <c r="E13" s="188"/>
      <c r="F13" s="188"/>
      <c r="G13" s="218"/>
      <c r="H13" s="229"/>
      <c r="I13" s="230"/>
      <c r="J13" s="230"/>
      <c r="K13" s="230"/>
      <c r="L13" s="238"/>
      <c r="M13" s="222"/>
      <c r="N13" s="222"/>
      <c r="O13" s="222"/>
      <c r="P13" s="224"/>
      <c r="Q13" s="226"/>
    </row>
    <row r="14" spans="1:22" ht="14.25" customHeight="1" x14ac:dyDescent="0.45">
      <c r="A14" s="188" t="s">
        <v>49</v>
      </c>
      <c r="B14" s="188"/>
      <c r="C14" s="188"/>
      <c r="D14" s="188"/>
      <c r="E14" s="188"/>
      <c r="F14" s="188"/>
      <c r="G14" s="218"/>
      <c r="H14" s="235" t="s">
        <v>107</v>
      </c>
      <c r="I14" s="236"/>
      <c r="J14" s="236"/>
      <c r="K14" s="236"/>
      <c r="L14" s="59" t="s">
        <v>111</v>
      </c>
      <c r="M14" s="67">
        <v>3</v>
      </c>
      <c r="N14" s="68">
        <f>IF(M14=0,"",M14*0.8)</f>
        <v>2.4000000000000004</v>
      </c>
      <c r="O14" s="67">
        <v>2.4</v>
      </c>
      <c r="P14" s="69">
        <f>IF(H14="","",Q11+O14*7)</f>
        <v>43786.8</v>
      </c>
      <c r="Q14" s="70">
        <f>IF(H14="","",Q11+M14*7)</f>
        <v>43791</v>
      </c>
    </row>
    <row r="15" spans="1:22" ht="14.25" customHeight="1" x14ac:dyDescent="0.45">
      <c r="A15" s="188"/>
      <c r="B15" s="188"/>
      <c r="C15" s="188"/>
      <c r="D15" s="188"/>
      <c r="E15" s="188"/>
      <c r="F15" s="188"/>
      <c r="G15" s="218"/>
      <c r="H15" s="233" t="s">
        <v>108</v>
      </c>
      <c r="I15" s="234"/>
      <c r="J15" s="234"/>
      <c r="K15" s="234"/>
      <c r="L15" s="7" t="s">
        <v>87</v>
      </c>
      <c r="M15" s="60">
        <v>1</v>
      </c>
      <c r="N15" s="61">
        <f t="shared" ref="N15:N28" si="0">IF(M15=0,"",M15*0.8)</f>
        <v>0.8</v>
      </c>
      <c r="O15" s="60">
        <v>0.8</v>
      </c>
      <c r="P15" s="8">
        <f>IF(H15="","",P14+O15*7)</f>
        <v>43792.4</v>
      </c>
      <c r="Q15" s="9">
        <f>IF(H15="","",Q14+M15*7)</f>
        <v>43798</v>
      </c>
    </row>
    <row r="16" spans="1:22" ht="14.25" customHeight="1" x14ac:dyDescent="0.45">
      <c r="A16" s="188" t="s">
        <v>51</v>
      </c>
      <c r="B16" s="188"/>
      <c r="C16" s="188"/>
      <c r="D16" s="188"/>
      <c r="E16" s="188"/>
      <c r="F16" s="188"/>
      <c r="G16" s="218"/>
      <c r="H16" s="233" t="s">
        <v>109</v>
      </c>
      <c r="I16" s="234"/>
      <c r="J16" s="234"/>
      <c r="K16" s="234"/>
      <c r="L16" s="6" t="s">
        <v>87</v>
      </c>
      <c r="M16" s="60">
        <v>1</v>
      </c>
      <c r="N16" s="61">
        <f t="shared" si="0"/>
        <v>0.8</v>
      </c>
      <c r="O16" s="60">
        <v>0.8</v>
      </c>
      <c r="P16" s="8">
        <f t="shared" ref="P16:P28" si="1">IF(H16="","",P15+O16*7)</f>
        <v>43798</v>
      </c>
      <c r="Q16" s="9">
        <f t="shared" ref="Q16:Q28" si="2">IF(H16="","",Q15+M16*7)</f>
        <v>43805</v>
      </c>
    </row>
    <row r="17" spans="1:17" ht="14.65" customHeight="1" x14ac:dyDescent="0.45">
      <c r="A17" s="188"/>
      <c r="B17" s="188"/>
      <c r="C17" s="188"/>
      <c r="D17" s="188"/>
      <c r="E17" s="188"/>
      <c r="F17" s="188"/>
      <c r="G17" s="218"/>
      <c r="H17" s="233" t="s">
        <v>110</v>
      </c>
      <c r="I17" s="234"/>
      <c r="J17" s="234"/>
      <c r="K17" s="234"/>
      <c r="L17" s="6" t="s">
        <v>111</v>
      </c>
      <c r="M17" s="60">
        <v>1</v>
      </c>
      <c r="N17" s="61">
        <f t="shared" si="0"/>
        <v>0.8</v>
      </c>
      <c r="O17" s="60">
        <v>0.8</v>
      </c>
      <c r="P17" s="8">
        <f t="shared" si="1"/>
        <v>43803.6</v>
      </c>
      <c r="Q17" s="9">
        <f t="shared" si="2"/>
        <v>43812</v>
      </c>
    </row>
    <row r="18" spans="1:17" ht="14.25" customHeight="1" x14ac:dyDescent="0.45">
      <c r="A18" s="189" t="s">
        <v>52</v>
      </c>
      <c r="B18" s="189"/>
      <c r="C18" s="189"/>
      <c r="D18" s="189"/>
      <c r="E18" s="189"/>
      <c r="F18" s="189"/>
      <c r="G18" s="208"/>
      <c r="H18" s="233" t="s">
        <v>112</v>
      </c>
      <c r="I18" s="234"/>
      <c r="J18" s="234"/>
      <c r="K18" s="234"/>
      <c r="L18" s="6" t="s">
        <v>111</v>
      </c>
      <c r="M18" s="60">
        <v>2</v>
      </c>
      <c r="N18" s="61">
        <f t="shared" si="0"/>
        <v>1.6</v>
      </c>
      <c r="O18" s="60">
        <v>1.6</v>
      </c>
      <c r="P18" s="8">
        <f t="shared" si="1"/>
        <v>43814.799999999996</v>
      </c>
      <c r="Q18" s="9">
        <f t="shared" si="2"/>
        <v>43826</v>
      </c>
    </row>
    <row r="19" spans="1:17" ht="14.25" customHeight="1" x14ac:dyDescent="0.45">
      <c r="A19" s="189"/>
      <c r="B19" s="189"/>
      <c r="C19" s="189"/>
      <c r="D19" s="189"/>
      <c r="E19" s="189"/>
      <c r="F19" s="189"/>
      <c r="G19" s="208"/>
      <c r="H19" s="233" t="s">
        <v>82</v>
      </c>
      <c r="I19" s="234"/>
      <c r="J19" s="234"/>
      <c r="K19" s="234"/>
      <c r="L19" s="7"/>
      <c r="M19" s="60"/>
      <c r="N19" s="61" t="str">
        <f t="shared" si="0"/>
        <v/>
      </c>
      <c r="O19" s="60">
        <v>1.6</v>
      </c>
      <c r="P19" s="8">
        <f t="shared" si="1"/>
        <v>43825.999999999993</v>
      </c>
      <c r="Q19" s="9">
        <f t="shared" si="2"/>
        <v>43826</v>
      </c>
    </row>
    <row r="20" spans="1:17" ht="14.25" customHeight="1" x14ac:dyDescent="0.45">
      <c r="A20" s="189"/>
      <c r="B20" s="189"/>
      <c r="C20" s="189"/>
      <c r="D20" s="189"/>
      <c r="E20" s="189"/>
      <c r="F20" s="189"/>
      <c r="G20" s="208"/>
      <c r="H20" s="233"/>
      <c r="I20" s="234"/>
      <c r="J20" s="234"/>
      <c r="K20" s="234"/>
      <c r="L20" s="7"/>
      <c r="M20" s="60"/>
      <c r="N20" s="61" t="str">
        <f t="shared" si="0"/>
        <v/>
      </c>
      <c r="O20" s="60"/>
      <c r="P20" s="8" t="str">
        <f t="shared" si="1"/>
        <v/>
      </c>
      <c r="Q20" s="9" t="str">
        <f t="shared" si="2"/>
        <v/>
      </c>
    </row>
    <row r="21" spans="1:17" ht="14.25" customHeight="1" x14ac:dyDescent="0.45">
      <c r="A21" s="188" t="s">
        <v>72</v>
      </c>
      <c r="B21" s="188"/>
      <c r="C21" s="188"/>
      <c r="D21" s="188"/>
      <c r="E21" s="188"/>
      <c r="F21" s="188"/>
      <c r="G21" s="218"/>
      <c r="H21" s="233"/>
      <c r="I21" s="234"/>
      <c r="J21" s="234"/>
      <c r="K21" s="234"/>
      <c r="L21" s="6"/>
      <c r="M21" s="60"/>
      <c r="N21" s="61" t="str">
        <f t="shared" si="0"/>
        <v/>
      </c>
      <c r="O21" s="60"/>
      <c r="P21" s="8" t="str">
        <f t="shared" si="1"/>
        <v/>
      </c>
      <c r="Q21" s="9" t="str">
        <f t="shared" si="2"/>
        <v/>
      </c>
    </row>
    <row r="22" spans="1:17" ht="14.65" customHeight="1" x14ac:dyDescent="0.45">
      <c r="A22" s="188"/>
      <c r="B22" s="188"/>
      <c r="C22" s="188"/>
      <c r="D22" s="188"/>
      <c r="E22" s="188"/>
      <c r="F22" s="188"/>
      <c r="G22" s="218"/>
      <c r="H22" s="233"/>
      <c r="I22" s="234"/>
      <c r="J22" s="234"/>
      <c r="K22" s="234"/>
      <c r="L22" s="6"/>
      <c r="M22" s="60"/>
      <c r="N22" s="61" t="str">
        <f t="shared" si="0"/>
        <v/>
      </c>
      <c r="O22" s="60"/>
      <c r="P22" s="8" t="str">
        <f t="shared" si="1"/>
        <v/>
      </c>
      <c r="Q22" s="9" t="str">
        <f t="shared" si="2"/>
        <v/>
      </c>
    </row>
    <row r="23" spans="1:17" ht="14.25" customHeight="1" x14ac:dyDescent="0.45">
      <c r="A23" s="189" t="s">
        <v>74</v>
      </c>
      <c r="B23" s="189"/>
      <c r="C23" s="189"/>
      <c r="D23" s="189"/>
      <c r="E23" s="189"/>
      <c r="F23" s="189"/>
      <c r="G23" s="208"/>
      <c r="H23" s="233"/>
      <c r="I23" s="234"/>
      <c r="J23" s="234"/>
      <c r="K23" s="234"/>
      <c r="L23" s="6"/>
      <c r="M23" s="60"/>
      <c r="N23" s="61" t="str">
        <f t="shared" si="0"/>
        <v/>
      </c>
      <c r="O23" s="60"/>
      <c r="P23" s="8" t="str">
        <f t="shared" si="1"/>
        <v/>
      </c>
      <c r="Q23" s="9" t="str">
        <f t="shared" si="2"/>
        <v/>
      </c>
    </row>
    <row r="24" spans="1:17" ht="14.25" customHeight="1" x14ac:dyDescent="0.45">
      <c r="A24" s="189"/>
      <c r="B24" s="189"/>
      <c r="C24" s="189"/>
      <c r="D24" s="189"/>
      <c r="E24" s="189"/>
      <c r="F24" s="189"/>
      <c r="G24" s="208"/>
      <c r="H24" s="233"/>
      <c r="I24" s="234"/>
      <c r="J24" s="234"/>
      <c r="K24" s="234"/>
      <c r="L24" s="7"/>
      <c r="M24" s="60"/>
      <c r="N24" s="61" t="str">
        <f t="shared" si="0"/>
        <v/>
      </c>
      <c r="O24" s="60"/>
      <c r="P24" s="8" t="str">
        <f t="shared" si="1"/>
        <v/>
      </c>
      <c r="Q24" s="9" t="str">
        <f t="shared" si="2"/>
        <v/>
      </c>
    </row>
    <row r="25" spans="1:17" ht="14.25" customHeight="1" x14ac:dyDescent="0.45">
      <c r="A25" s="189"/>
      <c r="B25" s="189"/>
      <c r="C25" s="189"/>
      <c r="D25" s="189"/>
      <c r="E25" s="189"/>
      <c r="F25" s="189"/>
      <c r="G25" s="208"/>
      <c r="H25" s="233"/>
      <c r="I25" s="234"/>
      <c r="J25" s="234"/>
      <c r="K25" s="234"/>
      <c r="L25" s="7"/>
      <c r="M25" s="60"/>
      <c r="N25" s="61" t="str">
        <f t="shared" si="0"/>
        <v/>
      </c>
      <c r="O25" s="60"/>
      <c r="P25" s="8" t="str">
        <f t="shared" si="1"/>
        <v/>
      </c>
      <c r="Q25" s="9" t="str">
        <f t="shared" si="2"/>
        <v/>
      </c>
    </row>
    <row r="26" spans="1:17" ht="14.25" customHeight="1" x14ac:dyDescent="0.45">
      <c r="A26" s="189" t="s">
        <v>73</v>
      </c>
      <c r="B26" s="189"/>
      <c r="C26" s="189"/>
      <c r="D26" s="189"/>
      <c r="E26" s="189"/>
      <c r="F26" s="189"/>
      <c r="G26" s="208"/>
      <c r="H26" s="233"/>
      <c r="I26" s="234"/>
      <c r="J26" s="234"/>
      <c r="K26" s="234"/>
      <c r="L26" s="6"/>
      <c r="M26" s="60"/>
      <c r="N26" s="61" t="str">
        <f t="shared" si="0"/>
        <v/>
      </c>
      <c r="O26" s="60"/>
      <c r="P26" s="8" t="str">
        <f t="shared" si="1"/>
        <v/>
      </c>
      <c r="Q26" s="9" t="str">
        <f t="shared" si="2"/>
        <v/>
      </c>
    </row>
    <row r="27" spans="1:17" ht="14.65" customHeight="1" x14ac:dyDescent="0.45">
      <c r="A27" s="189"/>
      <c r="B27" s="189"/>
      <c r="C27" s="189"/>
      <c r="D27" s="189"/>
      <c r="E27" s="189"/>
      <c r="F27" s="189"/>
      <c r="G27" s="208"/>
      <c r="H27" s="233"/>
      <c r="I27" s="234"/>
      <c r="J27" s="234"/>
      <c r="K27" s="234"/>
      <c r="L27" s="6"/>
      <c r="M27" s="60"/>
      <c r="N27" s="61" t="str">
        <f t="shared" si="0"/>
        <v/>
      </c>
      <c r="O27" s="60"/>
      <c r="P27" s="8" t="str">
        <f t="shared" si="1"/>
        <v/>
      </c>
      <c r="Q27" s="9" t="str">
        <f t="shared" si="2"/>
        <v/>
      </c>
    </row>
    <row r="28" spans="1:17" ht="14.65" thickBot="1" x14ac:dyDescent="0.5">
      <c r="A28" s="189"/>
      <c r="B28" s="189"/>
      <c r="C28" s="189"/>
      <c r="D28" s="189"/>
      <c r="E28" s="189"/>
      <c r="F28" s="189"/>
      <c r="G28" s="208"/>
      <c r="H28" s="231"/>
      <c r="I28" s="232"/>
      <c r="J28" s="232"/>
      <c r="K28" s="232"/>
      <c r="L28" s="24"/>
      <c r="M28" s="62"/>
      <c r="N28" s="63" t="str">
        <f t="shared" si="0"/>
        <v/>
      </c>
      <c r="O28" s="62"/>
      <c r="P28" s="64" t="str">
        <f t="shared" si="1"/>
        <v/>
      </c>
      <c r="Q28" s="65" t="str">
        <f t="shared" si="2"/>
        <v/>
      </c>
    </row>
    <row r="29" spans="1:17" x14ac:dyDescent="0.45">
      <c r="H29" s="4"/>
      <c r="I29" s="4"/>
      <c r="J29" s="4"/>
      <c r="K29" s="4"/>
      <c r="L29" s="4"/>
      <c r="M29" s="66">
        <f>SUM(M14:M28)</f>
        <v>8</v>
      </c>
      <c r="N29" s="66">
        <f t="shared" ref="N29:O29" si="3">SUM(N14:N28)</f>
        <v>6.4</v>
      </c>
      <c r="O29" s="66">
        <f t="shared" si="3"/>
        <v>8</v>
      </c>
    </row>
    <row r="31" spans="1:17" ht="14.65" thickBot="1" x14ac:dyDescent="0.5"/>
    <row r="32" spans="1:17" ht="14.25" customHeight="1" x14ac:dyDescent="0.45">
      <c r="A32" s="203" t="s">
        <v>67</v>
      </c>
      <c r="B32" s="203"/>
      <c r="C32" s="203"/>
      <c r="D32" s="203"/>
      <c r="E32" s="214"/>
      <c r="F32" s="144" t="s">
        <v>45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6"/>
    </row>
    <row r="33" spans="1:18" ht="14.65" customHeight="1" thickBot="1" x14ac:dyDescent="0.5">
      <c r="A33" s="203"/>
      <c r="B33" s="203"/>
      <c r="C33" s="203"/>
      <c r="D33" s="203"/>
      <c r="E33" s="214"/>
      <c r="F33" s="147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</row>
    <row r="34" spans="1:18" ht="14.65" customHeight="1" thickBot="1" x14ac:dyDescent="0.5">
      <c r="A34" s="189" t="s">
        <v>56</v>
      </c>
      <c r="B34" s="189"/>
      <c r="C34" s="189"/>
      <c r="D34" s="189"/>
      <c r="E34" s="208"/>
      <c r="F34" s="243" t="s">
        <v>47</v>
      </c>
      <c r="G34" s="241"/>
      <c r="H34" s="241" t="s">
        <v>104</v>
      </c>
      <c r="I34" s="241"/>
      <c r="J34" s="241" t="s">
        <v>105</v>
      </c>
      <c r="K34" s="241"/>
      <c r="L34" s="241" t="s">
        <v>106</v>
      </c>
      <c r="M34" s="241"/>
      <c r="N34" s="241"/>
      <c r="O34" s="241"/>
      <c r="P34" s="241"/>
      <c r="Q34" s="242"/>
    </row>
    <row r="35" spans="1:18" ht="14.25" customHeight="1" thickBot="1" x14ac:dyDescent="0.5">
      <c r="A35" s="189"/>
      <c r="B35" s="189"/>
      <c r="C35" s="189"/>
      <c r="D35" s="189"/>
      <c r="E35" s="208"/>
      <c r="F35" s="219" t="s">
        <v>101</v>
      </c>
      <c r="G35" s="220"/>
      <c r="H35" s="239">
        <v>43814</v>
      </c>
      <c r="I35" s="239"/>
      <c r="J35" s="239">
        <v>43487</v>
      </c>
      <c r="K35" s="239"/>
      <c r="L35" s="239">
        <v>43490</v>
      </c>
      <c r="M35" s="239"/>
      <c r="N35" s="239"/>
      <c r="O35" s="239"/>
      <c r="P35" s="239"/>
      <c r="Q35" s="240"/>
    </row>
    <row r="36" spans="1:18" ht="14.25" customHeight="1" thickBot="1" x14ac:dyDescent="0.5">
      <c r="A36" s="189" t="s">
        <v>57</v>
      </c>
      <c r="B36" s="189"/>
      <c r="C36" s="189"/>
      <c r="D36" s="189"/>
      <c r="E36" s="208"/>
      <c r="F36" s="219" t="s">
        <v>102</v>
      </c>
      <c r="G36" s="220"/>
      <c r="H36" s="215">
        <v>43817</v>
      </c>
      <c r="I36" s="216"/>
      <c r="J36" s="215">
        <v>43491</v>
      </c>
      <c r="K36" s="216"/>
      <c r="L36" s="215">
        <v>43494</v>
      </c>
      <c r="M36" s="216"/>
      <c r="N36" s="215"/>
      <c r="O36" s="216"/>
      <c r="P36" s="215"/>
      <c r="Q36" s="217"/>
    </row>
    <row r="37" spans="1:18" ht="14.25" customHeight="1" thickBot="1" x14ac:dyDescent="0.5">
      <c r="A37" s="189"/>
      <c r="B37" s="189"/>
      <c r="C37" s="189"/>
      <c r="D37" s="189"/>
      <c r="E37" s="208"/>
      <c r="F37" s="219" t="s">
        <v>103</v>
      </c>
      <c r="G37" s="220"/>
      <c r="H37" s="215">
        <v>43467</v>
      </c>
      <c r="I37" s="216"/>
      <c r="J37" s="215">
        <v>43496</v>
      </c>
      <c r="K37" s="216"/>
      <c r="L37" s="215">
        <v>43499</v>
      </c>
      <c r="M37" s="216"/>
      <c r="N37" s="215"/>
      <c r="O37" s="216"/>
      <c r="P37" s="215"/>
      <c r="Q37" s="217"/>
    </row>
    <row r="38" spans="1:18" ht="14.65" thickBot="1" x14ac:dyDescent="0.5">
      <c r="A38" s="189" t="s">
        <v>59</v>
      </c>
      <c r="B38" s="189"/>
      <c r="C38" s="189"/>
      <c r="D38" s="189"/>
      <c r="E38" s="208"/>
      <c r="F38" s="219"/>
      <c r="G38" s="220"/>
      <c r="H38" s="215"/>
      <c r="I38" s="216"/>
      <c r="J38" s="215"/>
      <c r="K38" s="216"/>
      <c r="L38" s="215"/>
      <c r="M38" s="216"/>
      <c r="N38" s="215"/>
      <c r="O38" s="216"/>
      <c r="P38" s="215"/>
      <c r="Q38" s="217"/>
    </row>
    <row r="39" spans="1:18" x14ac:dyDescent="0.45">
      <c r="A39" s="189"/>
      <c r="B39" s="189"/>
      <c r="C39" s="189"/>
      <c r="D39" s="189"/>
      <c r="E39" s="189"/>
      <c r="F39" s="74"/>
      <c r="G39" s="75"/>
      <c r="H39" s="75"/>
      <c r="I39" s="75"/>
      <c r="J39" s="75"/>
      <c r="K39" s="75"/>
      <c r="L39" s="75"/>
      <c r="M39" s="28"/>
      <c r="N39" s="28"/>
      <c r="O39" s="28"/>
      <c r="P39" s="28"/>
      <c r="Q39" s="29"/>
    </row>
    <row r="40" spans="1:18" x14ac:dyDescent="0.45">
      <c r="A40" s="189" t="s">
        <v>58</v>
      </c>
      <c r="B40" s="189"/>
      <c r="C40" s="189"/>
      <c r="D40" s="189"/>
      <c r="E40" s="189"/>
      <c r="F40" s="76"/>
      <c r="G40" s="73"/>
      <c r="H40" s="73"/>
      <c r="I40" s="73"/>
      <c r="J40" s="73"/>
      <c r="K40" s="73"/>
      <c r="L40" s="73"/>
      <c r="M40" s="26"/>
      <c r="N40" s="26"/>
      <c r="O40" s="26"/>
      <c r="P40" s="26"/>
      <c r="Q40" s="27"/>
    </row>
    <row r="41" spans="1:18" ht="14.65" thickBot="1" x14ac:dyDescent="0.5">
      <c r="A41" s="189"/>
      <c r="B41" s="189"/>
      <c r="C41" s="189"/>
      <c r="D41" s="189"/>
      <c r="E41" s="189"/>
      <c r="F41" s="77"/>
      <c r="G41" s="78"/>
      <c r="H41" s="78"/>
      <c r="I41" s="78"/>
      <c r="J41" s="78"/>
      <c r="K41" s="78"/>
      <c r="L41" s="78"/>
      <c r="M41" s="79"/>
      <c r="N41" s="79"/>
      <c r="O41" s="79"/>
      <c r="P41" s="79"/>
      <c r="Q41" s="80"/>
    </row>
    <row r="42" spans="1:18" x14ac:dyDescent="0.45">
      <c r="A42" s="71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</row>
    <row r="43" spans="1:18" ht="14.65" thickBot="1" x14ac:dyDescent="0.5"/>
    <row r="44" spans="1:18" ht="15.4" customHeight="1" x14ac:dyDescent="0.45">
      <c r="A44" s="209" t="s">
        <v>66</v>
      </c>
      <c r="B44" s="209"/>
      <c r="C44" s="209"/>
      <c r="D44" s="210"/>
      <c r="E44" s="144" t="s">
        <v>60</v>
      </c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6"/>
      <c r="R44" s="58" t="s">
        <v>4</v>
      </c>
    </row>
    <row r="45" spans="1:18" ht="15.4" customHeight="1" thickBot="1" x14ac:dyDescent="0.5">
      <c r="A45" s="209"/>
      <c r="B45" s="209"/>
      <c r="C45" s="209"/>
      <c r="D45" s="210"/>
      <c r="E45" s="147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9"/>
      <c r="R45" s="58" t="s">
        <v>5</v>
      </c>
    </row>
    <row r="46" spans="1:18" ht="14.65" thickBot="1" x14ac:dyDescent="0.5">
      <c r="A46" s="189" t="s">
        <v>61</v>
      </c>
      <c r="B46" s="189"/>
      <c r="C46" s="189"/>
      <c r="D46" s="208"/>
      <c r="E46" s="17" t="s">
        <v>29</v>
      </c>
      <c r="F46" s="204">
        <v>43466</v>
      </c>
      <c r="G46" s="205"/>
      <c r="H46" s="16" t="s">
        <v>27</v>
      </c>
      <c r="I46" s="34">
        <v>1</v>
      </c>
      <c r="J46" s="206" t="s">
        <v>4</v>
      </c>
      <c r="K46" s="207"/>
      <c r="L46" s="30"/>
      <c r="M46" s="30"/>
      <c r="N46" s="30"/>
      <c r="O46" s="30"/>
      <c r="P46" s="30"/>
      <c r="Q46" s="31"/>
    </row>
    <row r="47" spans="1:18" ht="14.65" thickBot="1" x14ac:dyDescent="0.5">
      <c r="A47" s="189"/>
      <c r="B47" s="189"/>
      <c r="C47" s="189"/>
      <c r="D47" s="208"/>
      <c r="E47" s="12" t="s">
        <v>7</v>
      </c>
      <c r="F47" s="211" t="s">
        <v>99</v>
      </c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3"/>
    </row>
    <row r="48" spans="1:18" ht="14.65" customHeight="1" x14ac:dyDescent="0.45">
      <c r="A48" s="189" t="s">
        <v>62</v>
      </c>
      <c r="B48" s="189"/>
      <c r="C48" s="189"/>
      <c r="D48" s="208"/>
      <c r="E48" s="55" t="s">
        <v>31</v>
      </c>
      <c r="F48" s="18">
        <f>B_Start</f>
        <v>43466</v>
      </c>
      <c r="G48" s="10">
        <f t="shared" ref="G48:Q48" si="4">DATE(YEAR(F48),MONTH(F48)+IF(B_Units&lt;&gt;$R$45,B_Cadence,0),DAY(F48)+IF(B_Units=$R$45,B_Cadence,0))</f>
        <v>43497</v>
      </c>
      <c r="H48" s="10">
        <f t="shared" si="4"/>
        <v>43525</v>
      </c>
      <c r="I48" s="10">
        <f t="shared" si="4"/>
        <v>43556</v>
      </c>
      <c r="J48" s="10">
        <f t="shared" si="4"/>
        <v>43586</v>
      </c>
      <c r="K48" s="10">
        <f t="shared" si="4"/>
        <v>43617</v>
      </c>
      <c r="L48" s="10">
        <f t="shared" si="4"/>
        <v>43647</v>
      </c>
      <c r="M48" s="10">
        <f t="shared" si="4"/>
        <v>43678</v>
      </c>
      <c r="N48" s="10">
        <f t="shared" si="4"/>
        <v>43709</v>
      </c>
      <c r="O48" s="10">
        <f t="shared" si="4"/>
        <v>43739</v>
      </c>
      <c r="P48" s="10">
        <f t="shared" si="4"/>
        <v>43770</v>
      </c>
      <c r="Q48" s="11">
        <f t="shared" si="4"/>
        <v>43800</v>
      </c>
    </row>
    <row r="49" spans="1:18" ht="14.25" customHeight="1" x14ac:dyDescent="0.45">
      <c r="A49" s="189"/>
      <c r="B49" s="189"/>
      <c r="C49" s="189"/>
      <c r="D49" s="208"/>
      <c r="E49" s="56" t="s">
        <v>3</v>
      </c>
      <c r="F49" s="84">
        <v>0.9</v>
      </c>
      <c r="G49" s="84">
        <v>0.9</v>
      </c>
      <c r="H49" s="84">
        <v>0.9</v>
      </c>
      <c r="I49" s="84">
        <v>0.9</v>
      </c>
      <c r="J49" s="84">
        <v>0.9</v>
      </c>
      <c r="K49" s="84">
        <v>0.9</v>
      </c>
      <c r="L49" s="84">
        <v>0.9</v>
      </c>
      <c r="M49" s="84">
        <v>0.9</v>
      </c>
      <c r="N49" s="84">
        <v>0.9</v>
      </c>
      <c r="O49" s="84">
        <v>0.9</v>
      </c>
      <c r="P49" s="84">
        <v>0.9</v>
      </c>
      <c r="Q49" s="84">
        <v>0.9</v>
      </c>
    </row>
    <row r="50" spans="1:18" ht="14.65" thickBot="1" x14ac:dyDescent="0.5">
      <c r="A50" s="189" t="s">
        <v>63</v>
      </c>
      <c r="B50" s="189"/>
      <c r="C50" s="189"/>
      <c r="D50" s="208"/>
      <c r="E50" s="165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7"/>
    </row>
    <row r="51" spans="1:18" ht="14.65" thickBot="1" x14ac:dyDescent="0.5">
      <c r="A51" s="189"/>
      <c r="B51" s="189"/>
      <c r="C51" s="189"/>
      <c r="D51" s="208"/>
      <c r="E51" s="12" t="s">
        <v>8</v>
      </c>
      <c r="F51" s="211" t="s">
        <v>100</v>
      </c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3"/>
    </row>
    <row r="52" spans="1:18" ht="14.65" customHeight="1" x14ac:dyDescent="0.45">
      <c r="A52" s="189" t="s">
        <v>64</v>
      </c>
      <c r="B52" s="189"/>
      <c r="C52" s="189"/>
      <c r="D52" s="189"/>
      <c r="E52" s="55" t="s">
        <v>31</v>
      </c>
      <c r="F52" s="18">
        <f t="shared" ref="F52:Q52" si="5">F48</f>
        <v>43466</v>
      </c>
      <c r="G52" s="10">
        <f t="shared" si="5"/>
        <v>43497</v>
      </c>
      <c r="H52" s="10">
        <f t="shared" si="5"/>
        <v>43525</v>
      </c>
      <c r="I52" s="10">
        <f t="shared" si="5"/>
        <v>43556</v>
      </c>
      <c r="J52" s="10">
        <f t="shared" si="5"/>
        <v>43586</v>
      </c>
      <c r="K52" s="10">
        <f t="shared" si="5"/>
        <v>43617</v>
      </c>
      <c r="L52" s="10">
        <f t="shared" si="5"/>
        <v>43647</v>
      </c>
      <c r="M52" s="10">
        <f t="shared" si="5"/>
        <v>43678</v>
      </c>
      <c r="N52" s="10">
        <f t="shared" si="5"/>
        <v>43709</v>
      </c>
      <c r="O52" s="10">
        <f t="shared" si="5"/>
        <v>43739</v>
      </c>
      <c r="P52" s="10">
        <f t="shared" si="5"/>
        <v>43770</v>
      </c>
      <c r="Q52" s="11">
        <f t="shared" si="5"/>
        <v>43800</v>
      </c>
    </row>
    <row r="53" spans="1:18" ht="14.25" customHeight="1" x14ac:dyDescent="0.45">
      <c r="A53" s="189"/>
      <c r="B53" s="189"/>
      <c r="C53" s="189"/>
      <c r="D53" s="189"/>
      <c r="E53" s="56" t="s">
        <v>3</v>
      </c>
      <c r="F53" s="87">
        <f>2000/12</f>
        <v>166.66666666666666</v>
      </c>
      <c r="G53" s="87">
        <f>F53+2000/12</f>
        <v>333.33333333333331</v>
      </c>
      <c r="H53" s="87">
        <f t="shared" ref="H53:Q53" si="6">G53+2000/12</f>
        <v>500</v>
      </c>
      <c r="I53" s="87">
        <f t="shared" si="6"/>
        <v>666.66666666666663</v>
      </c>
      <c r="J53" s="87">
        <f t="shared" si="6"/>
        <v>833.33333333333326</v>
      </c>
      <c r="K53" s="87">
        <f t="shared" si="6"/>
        <v>999.99999999999989</v>
      </c>
      <c r="L53" s="87">
        <f t="shared" si="6"/>
        <v>1166.6666666666665</v>
      </c>
      <c r="M53" s="87">
        <f t="shared" si="6"/>
        <v>1333.3333333333333</v>
      </c>
      <c r="N53" s="87">
        <f t="shared" si="6"/>
        <v>1500</v>
      </c>
      <c r="O53" s="87">
        <f t="shared" si="6"/>
        <v>1666.6666666666667</v>
      </c>
      <c r="P53" s="87">
        <f t="shared" si="6"/>
        <v>1833.3333333333335</v>
      </c>
      <c r="Q53" s="87">
        <f t="shared" si="6"/>
        <v>2000.0000000000002</v>
      </c>
    </row>
    <row r="54" spans="1:18" ht="6.75" customHeight="1" thickBot="1" x14ac:dyDescent="0.5">
      <c r="A54" s="189"/>
      <c r="B54" s="189"/>
      <c r="C54" s="189"/>
      <c r="D54" s="189"/>
    </row>
    <row r="55" spans="1:18" ht="14.25" customHeight="1" thickBot="1" x14ac:dyDescent="0.5">
      <c r="A55" s="189" t="s">
        <v>76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90" t="s">
        <v>77</v>
      </c>
      <c r="P55" s="191"/>
      <c r="Q55" s="13"/>
      <c r="R55" s="58" t="s">
        <v>22</v>
      </c>
    </row>
    <row r="56" spans="1:18" ht="14.25" customHeight="1" x14ac:dyDescent="0.45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90" t="s">
        <v>78</v>
      </c>
      <c r="P56" s="191"/>
      <c r="Q56" s="13"/>
      <c r="R56" s="58" t="s">
        <v>37</v>
      </c>
    </row>
    <row r="57" spans="1:18" ht="14.25" customHeight="1" x14ac:dyDescent="0.45">
      <c r="A57" s="189" t="s">
        <v>65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</row>
    <row r="58" spans="1:18" x14ac:dyDescent="0.45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</row>
    <row r="60" spans="1:18" ht="14.65" thickBot="1" x14ac:dyDescent="0.5"/>
    <row r="61" spans="1:18" x14ac:dyDescent="0.45">
      <c r="A61" s="181" t="s">
        <v>80</v>
      </c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/>
    </row>
    <row r="62" spans="1:18" x14ac:dyDescent="0.45">
      <c r="A62" s="184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6"/>
    </row>
    <row r="63" spans="1:18" x14ac:dyDescent="0.45">
      <c r="A63" s="187" t="s">
        <v>79</v>
      </c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</row>
    <row r="64" spans="1:18" x14ac:dyDescent="0.45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</row>
    <row r="65" spans="1:17" x14ac:dyDescent="0.4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</row>
  </sheetData>
  <mergeCells count="88">
    <mergeCell ref="P34:Q34"/>
    <mergeCell ref="H27:K27"/>
    <mergeCell ref="H20:K20"/>
    <mergeCell ref="F34:G34"/>
    <mergeCell ref="H34:I34"/>
    <mergeCell ref="J34:K34"/>
    <mergeCell ref="L34:M34"/>
    <mergeCell ref="N34:O34"/>
    <mergeCell ref="H35:I35"/>
    <mergeCell ref="J35:K35"/>
    <mergeCell ref="L35:M35"/>
    <mergeCell ref="N35:O35"/>
    <mergeCell ref="P35:Q35"/>
    <mergeCell ref="P37:Q37"/>
    <mergeCell ref="H36:I36"/>
    <mergeCell ref="J36:K36"/>
    <mergeCell ref="L36:M36"/>
    <mergeCell ref="N36:O36"/>
    <mergeCell ref="P36:Q36"/>
    <mergeCell ref="H37:I37"/>
    <mergeCell ref="J37:K37"/>
    <mergeCell ref="L37:M37"/>
    <mergeCell ref="N37:O37"/>
    <mergeCell ref="Q12:Q13"/>
    <mergeCell ref="H12:K13"/>
    <mergeCell ref="H28:K28"/>
    <mergeCell ref="H21:K21"/>
    <mergeCell ref="H22:K22"/>
    <mergeCell ref="H23:K23"/>
    <mergeCell ref="H24:K24"/>
    <mergeCell ref="H25:K25"/>
    <mergeCell ref="H26:K26"/>
    <mergeCell ref="H14:K14"/>
    <mergeCell ref="H15:K15"/>
    <mergeCell ref="H16:K16"/>
    <mergeCell ref="H17:K17"/>
    <mergeCell ref="H18:K18"/>
    <mergeCell ref="H19:K19"/>
    <mergeCell ref="L12:L13"/>
    <mergeCell ref="M12:M13"/>
    <mergeCell ref="N12:N13"/>
    <mergeCell ref="O12:O13"/>
    <mergeCell ref="P12:P13"/>
    <mergeCell ref="A12:G13"/>
    <mergeCell ref="A14:G15"/>
    <mergeCell ref="A16:G17"/>
    <mergeCell ref="A21:G22"/>
    <mergeCell ref="A18:G20"/>
    <mergeCell ref="A52:D54"/>
    <mergeCell ref="A26:G28"/>
    <mergeCell ref="A34:E35"/>
    <mergeCell ref="A36:E37"/>
    <mergeCell ref="A40:E41"/>
    <mergeCell ref="A38:E39"/>
    <mergeCell ref="F51:Q51"/>
    <mergeCell ref="F32:Q33"/>
    <mergeCell ref="F35:G35"/>
    <mergeCell ref="F36:G36"/>
    <mergeCell ref="F37:G37"/>
    <mergeCell ref="F38:G38"/>
    <mergeCell ref="E44:Q45"/>
    <mergeCell ref="F46:G46"/>
    <mergeCell ref="J46:K46"/>
    <mergeCell ref="E50:Q50"/>
    <mergeCell ref="A23:G25"/>
    <mergeCell ref="A44:D45"/>
    <mergeCell ref="A46:D47"/>
    <mergeCell ref="A48:D49"/>
    <mergeCell ref="A50:D51"/>
    <mergeCell ref="F47:Q47"/>
    <mergeCell ref="A32:E33"/>
    <mergeCell ref="H38:I38"/>
    <mergeCell ref="J38:K38"/>
    <mergeCell ref="L38:M38"/>
    <mergeCell ref="N38:O38"/>
    <mergeCell ref="P38:Q38"/>
    <mergeCell ref="A1:Q2"/>
    <mergeCell ref="A3:Q4"/>
    <mergeCell ref="A5:Q6"/>
    <mergeCell ref="A7:Q8"/>
    <mergeCell ref="H10:P11"/>
    <mergeCell ref="A10:G11"/>
    <mergeCell ref="A61:Q62"/>
    <mergeCell ref="A63:Q65"/>
    <mergeCell ref="A55:N56"/>
    <mergeCell ref="O55:P55"/>
    <mergeCell ref="O56:P56"/>
    <mergeCell ref="A57:Q58"/>
  </mergeCells>
  <dataValidations count="3">
    <dataValidation type="date" operator="greaterThan" allowBlank="1" showInputMessage="1" showErrorMessage="1" sqref="Q11 Q15:Q28 C40:E42 F39:L42 H35:Q38" xr:uid="{F198F104-6AA6-4974-B33F-202F555CA0BC}">
      <formula1>40179</formula1>
    </dataValidation>
    <dataValidation type="list" allowBlank="1" showInputMessage="1" showErrorMessage="1" sqref="J46:K46" xr:uid="{1C0A2B5D-2080-4BA4-BD7E-BDA822B4E876}">
      <formula1>$R$44:$R$45</formula1>
    </dataValidation>
    <dataValidation type="list" allowBlank="1" showInputMessage="1" showErrorMessage="1" sqref="Q55:Q56" xr:uid="{AFDBFD5D-8B87-4065-9588-579A1DC6504E}">
      <formula1>$R$55:$R$56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54</vt:i4>
      </vt:variant>
    </vt:vector>
  </HeadingPairs>
  <TitlesOfParts>
    <vt:vector size="56" baseType="lpstr">
      <vt:lpstr>Summary</vt:lpstr>
      <vt:lpstr>Success Map</vt:lpstr>
      <vt:lpstr>AP_Actuals</vt:lpstr>
      <vt:lpstr>AP_Deliverables</vt:lpstr>
      <vt:lpstr>AP_Est_Compressed</vt:lpstr>
      <vt:lpstr>AP_Est_Normal</vt:lpstr>
      <vt:lpstr>AP_Forecasts</vt:lpstr>
      <vt:lpstr>AP_NextActions</vt:lpstr>
      <vt:lpstr>AP_NextDates</vt:lpstr>
      <vt:lpstr>AP_Owners</vt:lpstr>
      <vt:lpstr>AP_Plans</vt:lpstr>
      <vt:lpstr>AP_Start</vt:lpstr>
      <vt:lpstr>B_Cadence</vt:lpstr>
      <vt:lpstr>B_Goal1</vt:lpstr>
      <vt:lpstr>B_Goal1Act</vt:lpstr>
      <vt:lpstr>B_Goal1Fcst</vt:lpstr>
      <vt:lpstr>B_Goal1Plan</vt:lpstr>
      <vt:lpstr>B_Goal1Sign</vt:lpstr>
      <vt:lpstr>B_Goal2</vt:lpstr>
      <vt:lpstr>B_Goal2Act</vt:lpstr>
      <vt:lpstr>B_Goal2Fcst</vt:lpstr>
      <vt:lpstr>B_Goal2Plan</vt:lpstr>
      <vt:lpstr>B_Goal2Sign</vt:lpstr>
      <vt:lpstr>B_Start</vt:lpstr>
      <vt:lpstr>B_Units</vt:lpstr>
      <vt:lpstr>Guide_Need</vt:lpstr>
      <vt:lpstr>Guide_NeedDate</vt:lpstr>
      <vt:lpstr>Guide_Owner</vt:lpstr>
      <vt:lpstr>Guide_Sponsor</vt:lpstr>
      <vt:lpstr>Guide_Team</vt:lpstr>
      <vt:lpstr>Pblm</vt:lpstr>
      <vt:lpstr>Pblm_CurrentPerf</vt:lpstr>
      <vt:lpstr>Pblm_Method</vt:lpstr>
      <vt:lpstr>Pblm_Metric</vt:lpstr>
      <vt:lpstr>Pblm_TargetPerf</vt:lpstr>
      <vt:lpstr>Summary!Print_Area</vt:lpstr>
      <vt:lpstr>Soln</vt:lpstr>
      <vt:lpstr>Soln_CM1</vt:lpstr>
      <vt:lpstr>Soln_CM2</vt:lpstr>
      <vt:lpstr>Soln_CM3</vt:lpstr>
      <vt:lpstr>Soln_RC</vt:lpstr>
      <vt:lpstr>Status</vt:lpstr>
      <vt:lpstr>TT_Case1_Act</vt:lpstr>
      <vt:lpstr>TT_Case1_Fcst</vt:lpstr>
      <vt:lpstr>TT_Case1_Plan</vt:lpstr>
      <vt:lpstr>TT_Case2_Act</vt:lpstr>
      <vt:lpstr>TT_Case2_Fcst</vt:lpstr>
      <vt:lpstr>TT_Case2_Plan</vt:lpstr>
      <vt:lpstr>TT_Case3_Act</vt:lpstr>
      <vt:lpstr>TT_Case3_Fcst</vt:lpstr>
      <vt:lpstr>TT_Case3_Plan</vt:lpstr>
      <vt:lpstr>TT_Case4_Act</vt:lpstr>
      <vt:lpstr>TT_Case4_Fcst</vt:lpstr>
      <vt:lpstr>TT_Case4_Plan</vt:lpstr>
      <vt:lpstr>TT_Cases</vt:lpstr>
      <vt:lpstr>TT_Laps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Ellis</dc:creator>
  <cp:lastModifiedBy>George Ellis</cp:lastModifiedBy>
  <cp:lastPrinted>2019-02-18T17:58:48Z</cp:lastPrinted>
  <dcterms:created xsi:type="dcterms:W3CDTF">2018-09-15T14:37:30Z</dcterms:created>
  <dcterms:modified xsi:type="dcterms:W3CDTF">2019-08-18T15:57:09Z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x Data Flow">
    <vt:lpwstr>Knowlege Work Improvement Canvas</vt:lpwstr>
  </property>
  <property fmtid="{D5CDD505-2E9C-101B-9397-08002B2CF9AE}" pid="3" name="Canvas Data Flow">
    <vt:lpwstr>Chapter 4--Knowlege Work Improvement Canvas, Second Try, Ver 3.xlsb</vt:lpwstr>
  </property>
  <property fmtid="{D5CDD505-2E9C-101B-9397-08002B2CF9AE}" pid="4" name="CanvasAggregatorRefDir">
    <vt:lpwstr>C:\Users\qxdes\Documents\Knowlege to Improve\The Knowledge to Improve\CanvasAggregatorRefDir</vt:lpwstr>
  </property>
  <property fmtid="{D5CDD505-2E9C-101B-9397-08002B2CF9AE}" pid="5" name="RefDirProperty">
    <vt:lpwstr>C:\Users\qxdes\Documents\Knowlege to Improve\The Knowledge to Improve\CanvasAggregatorRefDir</vt:lpwstr>
  </property>
</Properties>
</file>