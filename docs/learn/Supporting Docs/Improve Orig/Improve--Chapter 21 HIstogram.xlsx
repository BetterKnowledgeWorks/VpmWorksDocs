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xdes\Documents\repos\The_Knowledge_to_Improve_Repo\"/>
    </mc:Choice>
  </mc:AlternateContent>
  <xr:revisionPtr revIDLastSave="0" documentId="13_ncr:1_{DD18B3F1-FE08-4AE5-A63E-2351B511F59C}" xr6:coauthVersionLast="43" xr6:coauthVersionMax="43" xr10:uidLastSave="{00000000-0000-0000-0000-000000000000}"/>
  <bookViews>
    <workbookView xWindow="-98" yWindow="-98" windowWidth="28996" windowHeight="15796" xr2:uid="{BE644EFA-AA52-4F0D-B83C-8F1D95D2A920}"/>
  </bookViews>
  <sheets>
    <sheet name="Histogram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5" l="1"/>
  <c r="E10" i="5"/>
  <c r="E9" i="5"/>
  <c r="E8" i="5"/>
  <c r="E7" i="5"/>
  <c r="E6" i="5"/>
  <c r="E5" i="5"/>
  <c r="E4" i="5"/>
  <c r="B16" i="5"/>
  <c r="B15" i="5"/>
  <c r="B14" i="5"/>
  <c r="B13" i="5"/>
  <c r="E3" i="5"/>
</calcChain>
</file>

<file path=xl/sharedStrings.xml><?xml version="1.0" encoding="utf-8"?>
<sst xmlns="http://schemas.openxmlformats.org/spreadsheetml/2006/main" count="37" uniqueCount="28">
  <si>
    <t>Month</t>
  </si>
  <si>
    <t>Counter Measure</t>
  </si>
  <si>
    <t>Code</t>
  </si>
  <si>
    <t>Cause</t>
  </si>
  <si>
    <t>Sept</t>
  </si>
  <si>
    <t>Oct</t>
  </si>
  <si>
    <t>Nov</t>
  </si>
  <si>
    <t>Dec</t>
  </si>
  <si>
    <t>Jan</t>
  </si>
  <si>
    <t>Did not notify customer</t>
  </si>
  <si>
    <t>Customer changed spec</t>
  </si>
  <si>
    <t>Install configuration error</t>
  </si>
  <si>
    <t>Customer error</t>
  </si>
  <si>
    <t>Customer complaints/uncontrolled  product change</t>
  </si>
  <si>
    <t>TBD</t>
  </si>
  <si>
    <t>Monmouth-Merix line shut down from new software</t>
  </si>
  <si>
    <t>Run 8D</t>
  </si>
  <si>
    <t>Monmouth-Merix complaint from customer svc</t>
  </si>
  <si>
    <t>Application team reviewed with customer; customer will restore previous firmware</t>
  </si>
  <si>
    <t>Service team to return to customer to reinstall system</t>
  </si>
  <si>
    <t>Noonkester Manufacturing complaint</t>
  </si>
  <si>
    <t>Xi Fung customer down</t>
  </si>
  <si>
    <t>Telecon to correct install issue</t>
  </si>
  <si>
    <t>Error from customer application team; no response needed</t>
  </si>
  <si>
    <t>Resilix of Washington State</t>
  </si>
  <si>
    <t>Real Fortunea</t>
  </si>
  <si>
    <t>Using older version (pre 8D).  Corrected with 8D</t>
  </si>
  <si>
    <t>Cummulative Occurances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</si>
</sst>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5" xfId="0" applyBorder="1"/>
    <xf numFmtId="0" fontId="1" fillId="0" borderId="8" xfId="0" applyFont="1" applyBorder="1"/>
    <xf numFmtId="0" fontId="0" fillId="0" borderId="10" xfId="0" applyBorder="1"/>
    <xf numFmtId="0" fontId="0" fillId="0" borderId="11" xfId="0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0" fillId="2" borderId="1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2" xfId="0" applyFill="1" applyBorder="1" applyAlignment="1">
      <alignment horizontal="left"/>
    </xf>
    <xf numFmtId="168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0" fillId="2" borderId="1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168" fontId="0" fillId="2" borderId="10" xfId="0" applyNumberFormat="1" applyFill="1" applyBorder="1" applyAlignment="1">
      <alignment horizontal="center"/>
    </xf>
    <xf numFmtId="0" fontId="0" fillId="2" borderId="10" xfId="0" applyFill="1" applyBorder="1"/>
    <xf numFmtId="0" fontId="0" fillId="2" borderId="5" xfId="0" applyFill="1" applyBorder="1" applyAlignment="1">
      <alignment horizontal="left"/>
    </xf>
    <xf numFmtId="168" fontId="0" fillId="2" borderId="5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3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4" xfId="0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Histogram--All</a:t>
            </a:r>
            <a:r>
              <a:rPr lang="en-US" baseline="0"/>
              <a:t> late approvals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057150093487184E-2"/>
          <c:y val="0.19722164768459474"/>
          <c:w val="0.78739003151002285"/>
          <c:h val="0.566669067163960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Histogram!$B$12</c:f>
              <c:strCache>
                <c:ptCount val="1"/>
                <c:pt idx="0">
                  <c:v>Cummulative Occurances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Histogram!$B$13:$B$17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7-4907-AD90-4418EFAD2A7A}"/>
            </c:ext>
          </c:extLst>
        </c:ser>
        <c:ser>
          <c:idx val="1"/>
          <c:order val="1"/>
          <c:tx>
            <c:strRef>
              <c:f>Histogram!$E$12</c:f>
              <c:strCache>
                <c:ptCount val="1"/>
                <c:pt idx="0">
                  <c:v>Cause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Histogram!$E$13:$E$17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7-4907-AD90-4418EFAD2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15402024"/>
        <c:axId val="51539907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Histogram!$F$12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Histogram!$F$13:$F$17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D37-4907-AD90-4418EFAD2A7A}"/>
                  </c:ext>
                </c:extLst>
              </c15:ser>
            </c15:filteredBarSeries>
          </c:ext>
        </c:extLst>
      </c:barChart>
      <c:catAx>
        <c:axId val="515402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Cause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399072"/>
        <c:crosses val="autoZero"/>
        <c:auto val="1"/>
        <c:lblAlgn val="ctr"/>
        <c:lblOffset val="100"/>
        <c:noMultiLvlLbl val="0"/>
      </c:catAx>
      <c:valAx>
        <c:axId val="51539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Cummulative Occurances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020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302417</xdr:colOff>
      <xdr:row>11</xdr:row>
      <xdr:rowOff>2381</xdr:rowOff>
    </xdr:from>
    <xdr:to>
      <xdr:col>13</xdr:col>
      <xdr:colOff>304800</xdr:colOff>
      <xdr:row>24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719412-E0F0-462B-9850-EB3056970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128586</xdr:colOff>
      <xdr:row>14</xdr:row>
      <xdr:rowOff>42861</xdr:rowOff>
    </xdr:from>
    <xdr:to>
      <xdr:col>8</xdr:col>
      <xdr:colOff>523876</xdr:colOff>
      <xdr:row>15</xdr:row>
      <xdr:rowOff>52387</xdr:rowOff>
    </xdr:to>
    <xdr:sp macro="" textlink="E17">
      <xdr:nvSpPr>
        <xdr:cNvPr id="4" name="TextBox 3">
          <a:extLst>
            <a:ext uri="{FF2B5EF4-FFF2-40B4-BE49-F238E27FC236}">
              <a16:creationId xmlns:a16="http://schemas.microsoft.com/office/drawing/2014/main" id="{D4241844-1799-4915-AF23-35FCF7125022}"/>
            </a:ext>
          </a:extLst>
        </xdr:cNvPr>
        <xdr:cNvSpPr txBox="1"/>
      </xdr:nvSpPr>
      <xdr:spPr>
        <a:xfrm>
          <a:off x="7329486" y="2600324"/>
          <a:ext cx="1162053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fld id="{E7FB6C9B-5618-442F-BF14-97364D332103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TBD</a:t>
          </a:fld>
          <a:endParaRPr lang="en-US" sz="1100"/>
        </a:p>
      </xdr:txBody>
    </xdr:sp>
    <xdr:clientData/>
  </xdr:twoCellAnchor>
  <xdr:twoCellAnchor>
    <xdr:from>
      <xdr:col>11</xdr:col>
      <xdr:colOff>195260</xdr:colOff>
      <xdr:row>17</xdr:row>
      <xdr:rowOff>33336</xdr:rowOff>
    </xdr:from>
    <xdr:to>
      <xdr:col>13</xdr:col>
      <xdr:colOff>214313</xdr:colOff>
      <xdr:row>18</xdr:row>
      <xdr:rowOff>33338</xdr:rowOff>
    </xdr:to>
    <xdr:sp macro="" textlink="E15">
      <xdr:nvSpPr>
        <xdr:cNvPr id="5" name="TextBox 4">
          <a:extLst>
            <a:ext uri="{FF2B5EF4-FFF2-40B4-BE49-F238E27FC236}">
              <a16:creationId xmlns:a16="http://schemas.microsoft.com/office/drawing/2014/main" id="{D660D082-4CAF-48C5-B27F-723D989A9AA2}"/>
            </a:ext>
          </a:extLst>
        </xdr:cNvPr>
        <xdr:cNvSpPr txBox="1"/>
      </xdr:nvSpPr>
      <xdr:spPr>
        <a:xfrm>
          <a:off x="10463210" y="3133724"/>
          <a:ext cx="1552578" cy="1809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fld id="{6D15FD4B-B9FB-420F-BF80-A9D8BDE36912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Install configuration error</a:t>
          </a:fld>
          <a:endParaRPr lang="en-US" sz="1100"/>
        </a:p>
      </xdr:txBody>
    </xdr:sp>
    <xdr:clientData/>
  </xdr:twoCellAnchor>
  <xdr:twoCellAnchor>
    <xdr:from>
      <xdr:col>8</xdr:col>
      <xdr:colOff>385759</xdr:colOff>
      <xdr:row>18</xdr:row>
      <xdr:rowOff>104772</xdr:rowOff>
    </xdr:from>
    <xdr:to>
      <xdr:col>10</xdr:col>
      <xdr:colOff>523875</xdr:colOff>
      <xdr:row>19</xdr:row>
      <xdr:rowOff>133349</xdr:rowOff>
    </xdr:to>
    <xdr:sp macro="" textlink="E14">
      <xdr:nvSpPr>
        <xdr:cNvPr id="6" name="TextBox 5">
          <a:extLst>
            <a:ext uri="{FF2B5EF4-FFF2-40B4-BE49-F238E27FC236}">
              <a16:creationId xmlns:a16="http://schemas.microsoft.com/office/drawing/2014/main" id="{E5DCC926-AC48-442B-AD79-B6C5DDE7B03A}"/>
            </a:ext>
          </a:extLst>
        </xdr:cNvPr>
        <xdr:cNvSpPr txBox="1"/>
      </xdr:nvSpPr>
      <xdr:spPr>
        <a:xfrm>
          <a:off x="8353422" y="3386135"/>
          <a:ext cx="1671641" cy="209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fld id="{08832B04-2554-44F7-A10A-BBA501078B52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Customer changed spec</a:t>
          </a:fld>
          <a:endParaRPr lang="en-US" sz="1100"/>
        </a:p>
      </xdr:txBody>
    </xdr:sp>
    <xdr:clientData/>
  </xdr:twoCellAnchor>
  <xdr:twoCellAnchor>
    <xdr:from>
      <xdr:col>9</xdr:col>
      <xdr:colOff>690559</xdr:colOff>
      <xdr:row>20</xdr:row>
      <xdr:rowOff>14285</xdr:rowOff>
    </xdr:from>
    <xdr:to>
      <xdr:col>11</xdr:col>
      <xdr:colOff>747713</xdr:colOff>
      <xdr:row>21</xdr:row>
      <xdr:rowOff>23812</xdr:rowOff>
    </xdr:to>
    <xdr:sp macro="" textlink="E13">
      <xdr:nvSpPr>
        <xdr:cNvPr id="7" name="TextBox 6">
          <a:extLst>
            <a:ext uri="{FF2B5EF4-FFF2-40B4-BE49-F238E27FC236}">
              <a16:creationId xmlns:a16="http://schemas.microsoft.com/office/drawing/2014/main" id="{96D099A1-44E1-49BD-90A5-3B4B480C4C96}"/>
            </a:ext>
          </a:extLst>
        </xdr:cNvPr>
        <xdr:cNvSpPr txBox="1"/>
      </xdr:nvSpPr>
      <xdr:spPr>
        <a:xfrm>
          <a:off x="8586784" y="3657598"/>
          <a:ext cx="1590679" cy="1905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fld id="{CDE1043B-E4B2-489D-8EA5-4EADC001FEAB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Did not notify customer</a:t>
          </a:fld>
          <a:endParaRPr lang="en-US" sz="1100"/>
        </a:p>
      </xdr:txBody>
    </xdr:sp>
    <xdr:clientData/>
  </xdr:twoCellAnchor>
  <xdr:twoCellAnchor>
    <xdr:from>
      <xdr:col>11</xdr:col>
      <xdr:colOff>209548</xdr:colOff>
      <xdr:row>15</xdr:row>
      <xdr:rowOff>128586</xdr:rowOff>
    </xdr:from>
    <xdr:to>
      <xdr:col>12</xdr:col>
      <xdr:colOff>604838</xdr:colOff>
      <xdr:row>16</xdr:row>
      <xdr:rowOff>138112</xdr:rowOff>
    </xdr:to>
    <xdr:sp macro="" textlink="E16">
      <xdr:nvSpPr>
        <xdr:cNvPr id="8" name="TextBox 7">
          <a:extLst>
            <a:ext uri="{FF2B5EF4-FFF2-40B4-BE49-F238E27FC236}">
              <a16:creationId xmlns:a16="http://schemas.microsoft.com/office/drawing/2014/main" id="{3B70CD86-647E-4EBF-98D9-79DC0BDFD74F}"/>
            </a:ext>
          </a:extLst>
        </xdr:cNvPr>
        <xdr:cNvSpPr txBox="1"/>
      </xdr:nvSpPr>
      <xdr:spPr>
        <a:xfrm>
          <a:off x="10477498" y="2867024"/>
          <a:ext cx="1162053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fld id="{7BA7FE7F-2BA6-4F52-9DA0-B9E58065E1AA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Customer error</a:t>
          </a:fld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7FAA-3EE8-45F9-8F46-F523B2AA20FC}">
  <dimension ref="A1:O17"/>
  <sheetViews>
    <sheetView tabSelected="1" workbookViewId="0">
      <selection activeCell="R36" sqref="R36"/>
    </sheetView>
  </sheetViews>
  <sheetFormatPr defaultRowHeight="14.25" x14ac:dyDescent="0.45"/>
  <cols>
    <col min="1" max="1" width="30.3984375" customWidth="1"/>
    <col min="2" max="2" width="12.53125" customWidth="1"/>
    <col min="3" max="3" width="10" bestFit="1" customWidth="1"/>
    <col min="4" max="4" width="4.86328125" bestFit="1" customWidth="1"/>
    <col min="5" max="15" width="10.73046875" customWidth="1"/>
  </cols>
  <sheetData>
    <row r="1" spans="1:15" ht="14.65" thickBot="1" x14ac:dyDescent="0.5"/>
    <row r="2" spans="1:15" ht="14.65" thickBot="1" x14ac:dyDescent="0.5">
      <c r="A2" s="15" t="s">
        <v>13</v>
      </c>
      <c r="B2" s="16"/>
      <c r="C2" s="5" t="s">
        <v>0</v>
      </c>
      <c r="D2" s="6" t="s">
        <v>2</v>
      </c>
      <c r="E2" s="17" t="s">
        <v>3</v>
      </c>
      <c r="F2" s="18"/>
      <c r="G2" s="19" t="s">
        <v>1</v>
      </c>
      <c r="H2" s="20"/>
      <c r="I2" s="20"/>
      <c r="J2" s="20"/>
      <c r="K2" s="20"/>
      <c r="L2" s="20"/>
      <c r="M2" s="20"/>
      <c r="N2" s="20"/>
      <c r="O2" s="21"/>
    </row>
    <row r="3" spans="1:15" x14ac:dyDescent="0.45">
      <c r="A3" s="7" t="s">
        <v>15</v>
      </c>
      <c r="B3" s="25"/>
      <c r="C3" s="26" t="s">
        <v>4</v>
      </c>
      <c r="D3" s="27">
        <v>1</v>
      </c>
      <c r="E3" s="10" t="str">
        <f>IF(D3="","",VLOOKUP(D3,$D$13:$E$17,2))</f>
        <v>Did not notify customer</v>
      </c>
      <c r="F3" s="10"/>
      <c r="G3" s="25" t="s">
        <v>16</v>
      </c>
      <c r="H3" s="25"/>
      <c r="I3" s="25"/>
      <c r="J3" s="25"/>
      <c r="K3" s="25"/>
      <c r="L3" s="25"/>
      <c r="M3" s="25"/>
      <c r="N3" s="25"/>
      <c r="O3" s="35"/>
    </row>
    <row r="4" spans="1:15" x14ac:dyDescent="0.45">
      <c r="A4" s="28" t="s">
        <v>17</v>
      </c>
      <c r="B4" s="29"/>
      <c r="C4" s="30" t="s">
        <v>5</v>
      </c>
      <c r="D4" s="31">
        <v>2</v>
      </c>
      <c r="E4" s="12" t="str">
        <f t="shared" ref="E4:E10" si="0">IF(D4="","",VLOOKUP(D4,$D$13:$E$17,2))</f>
        <v>Customer changed spec</v>
      </c>
      <c r="F4" s="14"/>
      <c r="G4" s="29" t="s">
        <v>18</v>
      </c>
      <c r="H4" s="29"/>
      <c r="I4" s="29"/>
      <c r="J4" s="29"/>
      <c r="K4" s="29"/>
      <c r="L4" s="29"/>
      <c r="M4" s="29"/>
      <c r="N4" s="29"/>
      <c r="O4" s="36"/>
    </row>
    <row r="5" spans="1:15" x14ac:dyDescent="0.45">
      <c r="A5" s="28" t="s">
        <v>20</v>
      </c>
      <c r="B5" s="29"/>
      <c r="C5" s="30" t="s">
        <v>5</v>
      </c>
      <c r="D5" s="31">
        <v>3</v>
      </c>
      <c r="E5" s="12" t="str">
        <f t="shared" si="0"/>
        <v>Install configuration error</v>
      </c>
      <c r="F5" s="14"/>
      <c r="G5" s="29" t="s">
        <v>19</v>
      </c>
      <c r="H5" s="29"/>
      <c r="I5" s="29"/>
      <c r="J5" s="29"/>
      <c r="K5" s="29"/>
      <c r="L5" s="29"/>
      <c r="M5" s="29"/>
      <c r="N5" s="29"/>
      <c r="O5" s="36"/>
    </row>
    <row r="6" spans="1:15" x14ac:dyDescent="0.45">
      <c r="A6" s="28" t="s">
        <v>21</v>
      </c>
      <c r="B6" s="29"/>
      <c r="C6" s="30" t="s">
        <v>6</v>
      </c>
      <c r="D6" s="31">
        <v>3</v>
      </c>
      <c r="E6" s="12" t="str">
        <f t="shared" si="0"/>
        <v>Install configuration error</v>
      </c>
      <c r="F6" s="14"/>
      <c r="G6" s="29" t="s">
        <v>22</v>
      </c>
      <c r="H6" s="29"/>
      <c r="I6" s="29"/>
      <c r="J6" s="29"/>
      <c r="K6" s="29"/>
      <c r="L6" s="29"/>
      <c r="M6" s="29"/>
      <c r="N6" s="29"/>
      <c r="O6" s="36"/>
    </row>
    <row r="7" spans="1:15" x14ac:dyDescent="0.45">
      <c r="A7" s="28" t="s">
        <v>17</v>
      </c>
      <c r="B7" s="29"/>
      <c r="C7" s="30" t="s">
        <v>6</v>
      </c>
      <c r="D7" s="31">
        <v>4</v>
      </c>
      <c r="E7" s="12" t="str">
        <f t="shared" si="0"/>
        <v>Customer error</v>
      </c>
      <c r="F7" s="14"/>
      <c r="G7" s="29" t="s">
        <v>23</v>
      </c>
      <c r="H7" s="29"/>
      <c r="I7" s="29"/>
      <c r="J7" s="29"/>
      <c r="K7" s="29"/>
      <c r="L7" s="29"/>
      <c r="M7" s="29"/>
      <c r="N7" s="29"/>
      <c r="O7" s="36"/>
    </row>
    <row r="8" spans="1:15" x14ac:dyDescent="0.45">
      <c r="A8" s="28" t="s">
        <v>24</v>
      </c>
      <c r="B8" s="29"/>
      <c r="C8" s="30" t="s">
        <v>7</v>
      </c>
      <c r="D8" s="31">
        <v>4</v>
      </c>
      <c r="E8" s="12" t="str">
        <f t="shared" si="0"/>
        <v>Customer error</v>
      </c>
      <c r="F8" s="14"/>
      <c r="G8" s="29" t="s">
        <v>23</v>
      </c>
      <c r="H8" s="29"/>
      <c r="I8" s="29"/>
      <c r="J8" s="29"/>
      <c r="K8" s="29"/>
      <c r="L8" s="29"/>
      <c r="M8" s="29"/>
      <c r="N8" s="29"/>
      <c r="O8" s="36"/>
    </row>
    <row r="9" spans="1:15" x14ac:dyDescent="0.45">
      <c r="A9" s="28" t="s">
        <v>21</v>
      </c>
      <c r="B9" s="29"/>
      <c r="C9" s="30" t="s">
        <v>8</v>
      </c>
      <c r="D9" s="31">
        <v>3</v>
      </c>
      <c r="E9" s="12" t="str">
        <f t="shared" si="0"/>
        <v>Install configuration error</v>
      </c>
      <c r="F9" s="14"/>
      <c r="G9" s="29" t="s">
        <v>22</v>
      </c>
      <c r="H9" s="29"/>
      <c r="I9" s="29"/>
      <c r="J9" s="29"/>
      <c r="K9" s="29"/>
      <c r="L9" s="29"/>
      <c r="M9" s="29"/>
      <c r="N9" s="29"/>
      <c r="O9" s="36"/>
    </row>
    <row r="10" spans="1:15" ht="14.65" thickBot="1" x14ac:dyDescent="0.5">
      <c r="A10" s="8" t="s">
        <v>25</v>
      </c>
      <c r="B10" s="32"/>
      <c r="C10" s="33" t="s">
        <v>8</v>
      </c>
      <c r="D10" s="34">
        <v>1</v>
      </c>
      <c r="E10" s="13" t="str">
        <f t="shared" si="0"/>
        <v>Did not notify customer</v>
      </c>
      <c r="F10" s="11"/>
      <c r="G10" s="32" t="s">
        <v>26</v>
      </c>
      <c r="H10" s="32"/>
      <c r="I10" s="32"/>
      <c r="J10" s="32"/>
      <c r="K10" s="32"/>
      <c r="L10" s="32"/>
      <c r="M10" s="32"/>
      <c r="N10" s="32"/>
      <c r="O10" s="37"/>
    </row>
    <row r="11" spans="1:15" ht="14.65" thickBot="1" x14ac:dyDescent="0.5"/>
    <row r="12" spans="1:15" ht="14.65" thickBot="1" x14ac:dyDescent="0.5">
      <c r="B12" s="46" t="s">
        <v>27</v>
      </c>
      <c r="C12" s="47"/>
      <c r="D12" s="2" t="s">
        <v>2</v>
      </c>
      <c r="E12" s="48" t="s">
        <v>3</v>
      </c>
      <c r="F12" s="49"/>
    </row>
    <row r="13" spans="1:15" x14ac:dyDescent="0.45">
      <c r="B13" s="42">
        <f>COUNTIF($D$3:$D$10,"="&amp;D13)</f>
        <v>2</v>
      </c>
      <c r="C13" s="43"/>
      <c r="D13" s="4">
        <v>1</v>
      </c>
      <c r="E13" s="44" t="s">
        <v>9</v>
      </c>
      <c r="F13" s="45"/>
    </row>
    <row r="14" spans="1:15" x14ac:dyDescent="0.45">
      <c r="B14" s="39">
        <f>COUNTIF($D$3:$D$10,"="&amp;D14)</f>
        <v>1</v>
      </c>
      <c r="C14" s="38"/>
      <c r="D14" s="3">
        <v>2</v>
      </c>
      <c r="E14" s="9" t="s">
        <v>10</v>
      </c>
      <c r="F14" s="22"/>
    </row>
    <row r="15" spans="1:15" x14ac:dyDescent="0.45">
      <c r="B15" s="39">
        <f>COUNTIF($D$3:$D$10,"="&amp;D15)</f>
        <v>3</v>
      </c>
      <c r="C15" s="38"/>
      <c r="D15" s="3">
        <v>3</v>
      </c>
      <c r="E15" s="9" t="s">
        <v>11</v>
      </c>
      <c r="F15" s="22"/>
    </row>
    <row r="16" spans="1:15" x14ac:dyDescent="0.45">
      <c r="B16" s="39">
        <f>COUNTIF($D$3:$D$10,"="&amp;D16)</f>
        <v>2</v>
      </c>
      <c r="C16" s="38"/>
      <c r="D16" s="3">
        <v>4</v>
      </c>
      <c r="E16" s="9" t="s">
        <v>12</v>
      </c>
      <c r="F16" s="22"/>
    </row>
    <row r="17" spans="2:6" ht="14.65" thickBot="1" x14ac:dyDescent="0.5">
      <c r="B17" s="40">
        <f>COUNTIF($D$3:$D$10,"="&amp;D17)</f>
        <v>0</v>
      </c>
      <c r="C17" s="41"/>
      <c r="D17" s="1">
        <v>5</v>
      </c>
      <c r="E17" s="23" t="s">
        <v>14</v>
      </c>
      <c r="F17" s="24"/>
    </row>
  </sheetData>
  <mergeCells count="38">
    <mergeCell ref="B13:C13"/>
    <mergeCell ref="B14:C14"/>
    <mergeCell ref="B15:C15"/>
    <mergeCell ref="B16:C16"/>
    <mergeCell ref="B17:C17"/>
    <mergeCell ref="G3:O3"/>
    <mergeCell ref="G4:O4"/>
    <mergeCell ref="G5:O5"/>
    <mergeCell ref="G6:O6"/>
    <mergeCell ref="G2:O2"/>
    <mergeCell ref="E3:F3"/>
    <mergeCell ref="E4:F4"/>
    <mergeCell ref="E5:F5"/>
    <mergeCell ref="E6:F6"/>
    <mergeCell ref="E7:F7"/>
    <mergeCell ref="E8:F8"/>
    <mergeCell ref="E9:F9"/>
    <mergeCell ref="E10:F10"/>
    <mergeCell ref="B12:C12"/>
    <mergeCell ref="A10:B10"/>
    <mergeCell ref="A2:B2"/>
    <mergeCell ref="G8:O8"/>
    <mergeCell ref="G9:O9"/>
    <mergeCell ref="G10:O10"/>
    <mergeCell ref="A3:B3"/>
    <mergeCell ref="A4:B4"/>
    <mergeCell ref="A5:B5"/>
    <mergeCell ref="A6:B6"/>
    <mergeCell ref="A7:B7"/>
    <mergeCell ref="A8:B8"/>
    <mergeCell ref="A9:B9"/>
    <mergeCell ref="G7:O7"/>
    <mergeCell ref="E17:F17"/>
    <mergeCell ref="E12:F12"/>
    <mergeCell ref="E13:F13"/>
    <mergeCell ref="E14:F14"/>
    <mergeCell ref="E15:F15"/>
    <mergeCell ref="E16:F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Ellis</dc:creator>
  <cp:lastModifiedBy>George Ellis</cp:lastModifiedBy>
  <dcterms:created xsi:type="dcterms:W3CDTF">2018-01-06T13:42:09Z</dcterms:created>
  <dcterms:modified xsi:type="dcterms:W3CDTF">2019-06-10T01:38:31Z</dcterms:modified>
</cp:coreProperties>
</file>